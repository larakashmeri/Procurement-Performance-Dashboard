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https://d.docs.live.net/678297b8ecccc361/Desktop/LARA's/github/Procurement/"/>
    </mc:Choice>
  </mc:AlternateContent>
  <xr:revisionPtr revIDLastSave="2633" documentId="8_{160DA982-0F49-4A4D-A69B-F3D0178A3FB8}" xr6:coauthVersionLast="47" xr6:coauthVersionMax="47" xr10:uidLastSave="{8124F7B3-3C63-48A7-B778-833734210D18}"/>
  <bookViews>
    <workbookView showHorizontalScroll="0" showVerticalScroll="0" showSheetTabs="0" xWindow="-108" yWindow="-108" windowWidth="23256" windowHeight="12456" xr2:uid="{258B5F80-9FBC-4D7C-9B48-57A8CB39F2EF}"/>
  </bookViews>
  <sheets>
    <sheet name="Dashboard" sheetId="3" r:id="rId1"/>
    <sheet name="Key Insights" sheetId="5" r:id="rId2"/>
    <sheet name="PVT" sheetId="2" state="hidden" r:id="rId3"/>
    <sheet name="Procurement KPI Analysis Datase" sheetId="1" r:id="rId4"/>
  </sheets>
  <definedNames>
    <definedName name="_xlnm._FilterDatabase" localSheetId="3" hidden="1">'Procurement KPI Analysis Datase'!$A$1:$O$778</definedName>
    <definedName name="NativeTimeline_Order_Date">#N/A</definedName>
    <definedName name="Slicer_Item_Category">#N/A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4" i="3"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2" i="1"/>
  <c r="AH3" i="3"/>
  <c r="AH2" i="3"/>
  <c r="L780" i="1" l="1"/>
  <c r="N780" i="1"/>
</calcChain>
</file>

<file path=xl/sharedStrings.xml><?xml version="1.0" encoding="utf-8"?>
<sst xmlns="http://schemas.openxmlformats.org/spreadsheetml/2006/main" count="3983" uniqueCount="822">
  <si>
    <t>PO_ID</t>
  </si>
  <si>
    <t>Supplier</t>
  </si>
  <si>
    <t>Order_Date</t>
  </si>
  <si>
    <t>Delivery_Date</t>
  </si>
  <si>
    <t>Item_Category</t>
  </si>
  <si>
    <t>Order_Status</t>
  </si>
  <si>
    <t>Quantity</t>
  </si>
  <si>
    <t>Unit_Price</t>
  </si>
  <si>
    <t>Negotiated_Price</t>
  </si>
  <si>
    <t>Defective_Units</t>
  </si>
  <si>
    <t>Compliance</t>
  </si>
  <si>
    <t>PO-00001</t>
  </si>
  <si>
    <t>Alpha_Inc</t>
  </si>
  <si>
    <t>Office Supplies</t>
  </si>
  <si>
    <t>Cancelled</t>
  </si>
  <si>
    <t>Yes</t>
  </si>
  <si>
    <t>PO-00002</t>
  </si>
  <si>
    <t>Delta_Logistics</t>
  </si>
  <si>
    <t>Delivered</t>
  </si>
  <si>
    <t>PO-00003</t>
  </si>
  <si>
    <t>Gamma_Co</t>
  </si>
  <si>
    <t>MRO</t>
  </si>
  <si>
    <t>PO-00004</t>
  </si>
  <si>
    <t>Beta_Supplies</t>
  </si>
  <si>
    <t>Packaging</t>
  </si>
  <si>
    <t>PO-00005</t>
  </si>
  <si>
    <t>Raw Materials</t>
  </si>
  <si>
    <t>No</t>
  </si>
  <si>
    <t>PO-00006</t>
  </si>
  <si>
    <t>Epsilon_Group</t>
  </si>
  <si>
    <t>PO-00007</t>
  </si>
  <si>
    <t>PO-00008</t>
  </si>
  <si>
    <t>PO-00009</t>
  </si>
  <si>
    <t>Partially Delivered</t>
  </si>
  <si>
    <t>PO-00010</t>
  </si>
  <si>
    <t>Pending</t>
  </si>
  <si>
    <t>PO-00011</t>
  </si>
  <si>
    <t>PO-00012</t>
  </si>
  <si>
    <t>PO-00013</t>
  </si>
  <si>
    <t>Electronics</t>
  </si>
  <si>
    <t>PO-00014</t>
  </si>
  <si>
    <t>PO-00015</t>
  </si>
  <si>
    <t>PO-00016</t>
  </si>
  <si>
    <t>PO-00017</t>
  </si>
  <si>
    <t>PO-00018</t>
  </si>
  <si>
    <t>PO-00019</t>
  </si>
  <si>
    <t>PO-00020</t>
  </si>
  <si>
    <t>PO-00021</t>
  </si>
  <si>
    <t>PO-00022</t>
  </si>
  <si>
    <t>PO-00023</t>
  </si>
  <si>
    <t>PO-00024</t>
  </si>
  <si>
    <t>PO-00025</t>
  </si>
  <si>
    <t>PO-00026</t>
  </si>
  <si>
    <t>PO-00027</t>
  </si>
  <si>
    <t>PO-00028</t>
  </si>
  <si>
    <t>PO-00029</t>
  </si>
  <si>
    <t>PO-00030</t>
  </si>
  <si>
    <t>PO-00031</t>
  </si>
  <si>
    <t>PO-00032</t>
  </si>
  <si>
    <t>PO-00033</t>
  </si>
  <si>
    <t>PO-00034</t>
  </si>
  <si>
    <t>PO-00035</t>
  </si>
  <si>
    <t>PO-00036</t>
  </si>
  <si>
    <t>PO-00037</t>
  </si>
  <si>
    <t>PO-00038</t>
  </si>
  <si>
    <t>PO-00039</t>
  </si>
  <si>
    <t>PO-00040</t>
  </si>
  <si>
    <t>PO-00041</t>
  </si>
  <si>
    <t>PO-00042</t>
  </si>
  <si>
    <t>PO-00043</t>
  </si>
  <si>
    <t>PO-00044</t>
  </si>
  <si>
    <t>PO-00045</t>
  </si>
  <si>
    <t>PO-00046</t>
  </si>
  <si>
    <t>PO-00047</t>
  </si>
  <si>
    <t>PO-00048</t>
  </si>
  <si>
    <t>PO-00049</t>
  </si>
  <si>
    <t>PO-00050</t>
  </si>
  <si>
    <t>PO-00051</t>
  </si>
  <si>
    <t>PO-00052</t>
  </si>
  <si>
    <t>PO-00053</t>
  </si>
  <si>
    <t>PO-00054</t>
  </si>
  <si>
    <t>PO-00055</t>
  </si>
  <si>
    <t>PO-00056</t>
  </si>
  <si>
    <t>PO-00057</t>
  </si>
  <si>
    <t>PO-00058</t>
  </si>
  <si>
    <t>PO-00059</t>
  </si>
  <si>
    <t>PO-00060</t>
  </si>
  <si>
    <t>PO-00061</t>
  </si>
  <si>
    <t>PO-00062</t>
  </si>
  <si>
    <t>PO-00063</t>
  </si>
  <si>
    <t>PO-00064</t>
  </si>
  <si>
    <t>PO-00065</t>
  </si>
  <si>
    <t>PO-00066</t>
  </si>
  <si>
    <t>PO-00067</t>
  </si>
  <si>
    <t>PO-00068</t>
  </si>
  <si>
    <t>PO-00069</t>
  </si>
  <si>
    <t>PO-00070</t>
  </si>
  <si>
    <t>PO-00071</t>
  </si>
  <si>
    <t>PO-00072</t>
  </si>
  <si>
    <t>PO-00073</t>
  </si>
  <si>
    <t>PO-00074</t>
  </si>
  <si>
    <t>PO-00075</t>
  </si>
  <si>
    <t>PO-00076</t>
  </si>
  <si>
    <t>PO-00077</t>
  </si>
  <si>
    <t>PO-00078</t>
  </si>
  <si>
    <t>PO-00079</t>
  </si>
  <si>
    <t>PO-00080</t>
  </si>
  <si>
    <t>PO-00081</t>
  </si>
  <si>
    <t>PO-00082</t>
  </si>
  <si>
    <t>PO-00083</t>
  </si>
  <si>
    <t>PO-00084</t>
  </si>
  <si>
    <t>PO-00085</t>
  </si>
  <si>
    <t>PO-00086</t>
  </si>
  <si>
    <t>PO-00087</t>
  </si>
  <si>
    <t>PO-00088</t>
  </si>
  <si>
    <t>PO-00089</t>
  </si>
  <si>
    <t>PO-00090</t>
  </si>
  <si>
    <t>PO-00091</t>
  </si>
  <si>
    <t>PO-00092</t>
  </si>
  <si>
    <t>PO-00093</t>
  </si>
  <si>
    <t>PO-00094</t>
  </si>
  <si>
    <t>PO-00095</t>
  </si>
  <si>
    <t>PO-00096</t>
  </si>
  <si>
    <t>PO-00097</t>
  </si>
  <si>
    <t>PO-00098</t>
  </si>
  <si>
    <t>PO-00099</t>
  </si>
  <si>
    <t>PO-00100</t>
  </si>
  <si>
    <t>PO-00101</t>
  </si>
  <si>
    <t>PO-00102</t>
  </si>
  <si>
    <t>PO-00103</t>
  </si>
  <si>
    <t>PO-00104</t>
  </si>
  <si>
    <t>PO-00105</t>
  </si>
  <si>
    <t>PO-00106</t>
  </si>
  <si>
    <t>PO-00107</t>
  </si>
  <si>
    <t>PO-00108</t>
  </si>
  <si>
    <t>PO-00109</t>
  </si>
  <si>
    <t>PO-00110</t>
  </si>
  <si>
    <t>PO-00111</t>
  </si>
  <si>
    <t>PO-00112</t>
  </si>
  <si>
    <t>PO-00113</t>
  </si>
  <si>
    <t>PO-00114</t>
  </si>
  <si>
    <t>PO-00115</t>
  </si>
  <si>
    <t>PO-00116</t>
  </si>
  <si>
    <t>PO-00117</t>
  </si>
  <si>
    <t>PO-00118</t>
  </si>
  <si>
    <t>PO-00119</t>
  </si>
  <si>
    <t>PO-00120</t>
  </si>
  <si>
    <t>PO-00121</t>
  </si>
  <si>
    <t>PO-00122</t>
  </si>
  <si>
    <t>PO-00123</t>
  </si>
  <si>
    <t>PO-00124</t>
  </si>
  <si>
    <t>PO-00125</t>
  </si>
  <si>
    <t>PO-00126</t>
  </si>
  <si>
    <t>PO-00127</t>
  </si>
  <si>
    <t>PO-00128</t>
  </si>
  <si>
    <t>PO-00129</t>
  </si>
  <si>
    <t>PO-00130</t>
  </si>
  <si>
    <t>PO-00131</t>
  </si>
  <si>
    <t>PO-00132</t>
  </si>
  <si>
    <t>PO-00133</t>
  </si>
  <si>
    <t>PO-00134</t>
  </si>
  <si>
    <t>PO-00135</t>
  </si>
  <si>
    <t>PO-00136</t>
  </si>
  <si>
    <t>PO-00137</t>
  </si>
  <si>
    <t>PO-00138</t>
  </si>
  <si>
    <t>PO-00139</t>
  </si>
  <si>
    <t>PO-00140</t>
  </si>
  <si>
    <t>PO-00141</t>
  </si>
  <si>
    <t>PO-00142</t>
  </si>
  <si>
    <t>PO-00143</t>
  </si>
  <si>
    <t>PO-00144</t>
  </si>
  <si>
    <t>PO-00145</t>
  </si>
  <si>
    <t>PO-00146</t>
  </si>
  <si>
    <t>PO-00147</t>
  </si>
  <si>
    <t>PO-00148</t>
  </si>
  <si>
    <t>PO-00149</t>
  </si>
  <si>
    <t>PO-00150</t>
  </si>
  <si>
    <t>PO-00151</t>
  </si>
  <si>
    <t>PO-00152</t>
  </si>
  <si>
    <t>PO-00153</t>
  </si>
  <si>
    <t>PO-00154</t>
  </si>
  <si>
    <t>PO-00155</t>
  </si>
  <si>
    <t>PO-00156</t>
  </si>
  <si>
    <t>PO-00157</t>
  </si>
  <si>
    <t>PO-00158</t>
  </si>
  <si>
    <t>PO-00159</t>
  </si>
  <si>
    <t>PO-00160</t>
  </si>
  <si>
    <t>PO-00161</t>
  </si>
  <si>
    <t>PO-00162</t>
  </si>
  <si>
    <t>PO-00163</t>
  </si>
  <si>
    <t>PO-00164</t>
  </si>
  <si>
    <t>PO-00165</t>
  </si>
  <si>
    <t>PO-00166</t>
  </si>
  <si>
    <t>PO-00167</t>
  </si>
  <si>
    <t>PO-00168</t>
  </si>
  <si>
    <t>PO-00169</t>
  </si>
  <si>
    <t>PO-00170</t>
  </si>
  <si>
    <t>PO-00171</t>
  </si>
  <si>
    <t>PO-00172</t>
  </si>
  <si>
    <t>PO-00173</t>
  </si>
  <si>
    <t>PO-00174</t>
  </si>
  <si>
    <t>PO-00175</t>
  </si>
  <si>
    <t>PO-00176</t>
  </si>
  <si>
    <t>PO-00177</t>
  </si>
  <si>
    <t>PO-00178</t>
  </si>
  <si>
    <t>PO-00179</t>
  </si>
  <si>
    <t>PO-00180</t>
  </si>
  <si>
    <t>PO-00181</t>
  </si>
  <si>
    <t>PO-00182</t>
  </si>
  <si>
    <t>PO-00183</t>
  </si>
  <si>
    <t>PO-00184</t>
  </si>
  <si>
    <t>PO-00185</t>
  </si>
  <si>
    <t>PO-00186</t>
  </si>
  <si>
    <t>PO-00187</t>
  </si>
  <si>
    <t>PO-00188</t>
  </si>
  <si>
    <t>PO-00189</t>
  </si>
  <si>
    <t>PO-00190</t>
  </si>
  <si>
    <t>PO-00191</t>
  </si>
  <si>
    <t>PO-00192</t>
  </si>
  <si>
    <t>PO-00193</t>
  </si>
  <si>
    <t>PO-00194</t>
  </si>
  <si>
    <t>PO-00195</t>
  </si>
  <si>
    <t>PO-00196</t>
  </si>
  <si>
    <t>PO-00197</t>
  </si>
  <si>
    <t>PO-00198</t>
  </si>
  <si>
    <t>PO-00199</t>
  </si>
  <si>
    <t>PO-00200</t>
  </si>
  <si>
    <t>PO-00201</t>
  </si>
  <si>
    <t>PO-00202</t>
  </si>
  <si>
    <t>PO-00203</t>
  </si>
  <si>
    <t>PO-00204</t>
  </si>
  <si>
    <t>PO-00205</t>
  </si>
  <si>
    <t>PO-00206</t>
  </si>
  <si>
    <t>PO-00207</t>
  </si>
  <si>
    <t>PO-00208</t>
  </si>
  <si>
    <t>PO-00209</t>
  </si>
  <si>
    <t>PO-00210</t>
  </si>
  <si>
    <t>PO-00211</t>
  </si>
  <si>
    <t>PO-00212</t>
  </si>
  <si>
    <t>PO-00213</t>
  </si>
  <si>
    <t>PO-00214</t>
  </si>
  <si>
    <t>PO-00215</t>
  </si>
  <si>
    <t>PO-00216</t>
  </si>
  <si>
    <t>PO-00217</t>
  </si>
  <si>
    <t>PO-00218</t>
  </si>
  <si>
    <t>PO-00219</t>
  </si>
  <si>
    <t>PO-00220</t>
  </si>
  <si>
    <t>PO-00221</t>
  </si>
  <si>
    <t>PO-00222</t>
  </si>
  <si>
    <t>PO-00223</t>
  </si>
  <si>
    <t>PO-00224</t>
  </si>
  <si>
    <t>PO-00225</t>
  </si>
  <si>
    <t>PO-00226</t>
  </si>
  <si>
    <t>PO-00227</t>
  </si>
  <si>
    <t>PO-00228</t>
  </si>
  <si>
    <t>PO-00229</t>
  </si>
  <si>
    <t>PO-00230</t>
  </si>
  <si>
    <t>PO-00231</t>
  </si>
  <si>
    <t>PO-00232</t>
  </si>
  <si>
    <t>PO-00233</t>
  </si>
  <si>
    <t>PO-00234</t>
  </si>
  <si>
    <t>PO-00235</t>
  </si>
  <si>
    <t>PO-00236</t>
  </si>
  <si>
    <t>PO-00237</t>
  </si>
  <si>
    <t>PO-00238</t>
  </si>
  <si>
    <t>PO-00239</t>
  </si>
  <si>
    <t>PO-00240</t>
  </si>
  <si>
    <t>PO-00241</t>
  </si>
  <si>
    <t>PO-00242</t>
  </si>
  <si>
    <t>PO-00243</t>
  </si>
  <si>
    <t>PO-00244</t>
  </si>
  <si>
    <t>PO-00245</t>
  </si>
  <si>
    <t>PO-00246</t>
  </si>
  <si>
    <t>PO-00247</t>
  </si>
  <si>
    <t>PO-00248</t>
  </si>
  <si>
    <t>PO-00249</t>
  </si>
  <si>
    <t>PO-00250</t>
  </si>
  <si>
    <t>PO-00251</t>
  </si>
  <si>
    <t>PO-00252</t>
  </si>
  <si>
    <t>PO-00253</t>
  </si>
  <si>
    <t>PO-00254</t>
  </si>
  <si>
    <t>PO-00255</t>
  </si>
  <si>
    <t>PO-00256</t>
  </si>
  <si>
    <t>PO-00257</t>
  </si>
  <si>
    <t>PO-00258</t>
  </si>
  <si>
    <t>PO-00259</t>
  </si>
  <si>
    <t>PO-00260</t>
  </si>
  <si>
    <t>PO-00261</t>
  </si>
  <si>
    <t>PO-00262</t>
  </si>
  <si>
    <t>PO-00263</t>
  </si>
  <si>
    <t>PO-00264</t>
  </si>
  <si>
    <t>PO-00265</t>
  </si>
  <si>
    <t>PO-00266</t>
  </si>
  <si>
    <t>PO-00267</t>
  </si>
  <si>
    <t>PO-00268</t>
  </si>
  <si>
    <t>PO-00269</t>
  </si>
  <si>
    <t>PO-00270</t>
  </si>
  <si>
    <t>PO-00271</t>
  </si>
  <si>
    <t>PO-00272</t>
  </si>
  <si>
    <t>PO-00273</t>
  </si>
  <si>
    <t>PO-00274</t>
  </si>
  <si>
    <t>PO-00275</t>
  </si>
  <si>
    <t>PO-00276</t>
  </si>
  <si>
    <t>PO-00277</t>
  </si>
  <si>
    <t>PO-00278</t>
  </si>
  <si>
    <t>PO-00279</t>
  </si>
  <si>
    <t>PO-00280</t>
  </si>
  <si>
    <t>PO-00281</t>
  </si>
  <si>
    <t>PO-00282</t>
  </si>
  <si>
    <t>PO-00283</t>
  </si>
  <si>
    <t>PO-00284</t>
  </si>
  <si>
    <t>PO-00285</t>
  </si>
  <si>
    <t>PO-00286</t>
  </si>
  <si>
    <t>PO-00287</t>
  </si>
  <si>
    <t>PO-00288</t>
  </si>
  <si>
    <t>PO-00289</t>
  </si>
  <si>
    <t>PO-00290</t>
  </si>
  <si>
    <t>PO-00291</t>
  </si>
  <si>
    <t>PO-00292</t>
  </si>
  <si>
    <t>PO-00293</t>
  </si>
  <si>
    <t>PO-00294</t>
  </si>
  <si>
    <t>PO-00295</t>
  </si>
  <si>
    <t>PO-00296</t>
  </si>
  <si>
    <t>PO-00297</t>
  </si>
  <si>
    <t>PO-00298</t>
  </si>
  <si>
    <t>PO-00299</t>
  </si>
  <si>
    <t>PO-00300</t>
  </si>
  <si>
    <t>PO-00301</t>
  </si>
  <si>
    <t>PO-00302</t>
  </si>
  <si>
    <t>PO-00303</t>
  </si>
  <si>
    <t>PO-00304</t>
  </si>
  <si>
    <t>PO-00305</t>
  </si>
  <si>
    <t>PO-00306</t>
  </si>
  <si>
    <t>PO-00307</t>
  </si>
  <si>
    <t>PO-00308</t>
  </si>
  <si>
    <t>PO-00309</t>
  </si>
  <si>
    <t>PO-00310</t>
  </si>
  <si>
    <t>PO-00311</t>
  </si>
  <si>
    <t>PO-00312</t>
  </si>
  <si>
    <t>PO-00313</t>
  </si>
  <si>
    <t>PO-00314</t>
  </si>
  <si>
    <t>PO-00315</t>
  </si>
  <si>
    <t>PO-00316</t>
  </si>
  <si>
    <t>PO-00317</t>
  </si>
  <si>
    <t>PO-00318</t>
  </si>
  <si>
    <t>PO-00319</t>
  </si>
  <si>
    <t>PO-00320</t>
  </si>
  <si>
    <t>PO-00321</t>
  </si>
  <si>
    <t>PO-00322</t>
  </si>
  <si>
    <t>PO-00323</t>
  </si>
  <si>
    <t>PO-00324</t>
  </si>
  <si>
    <t>PO-00325</t>
  </si>
  <si>
    <t>PO-00326</t>
  </si>
  <si>
    <t>PO-00327</t>
  </si>
  <si>
    <t>PO-00328</t>
  </si>
  <si>
    <t>PO-00329</t>
  </si>
  <si>
    <t>PO-00330</t>
  </si>
  <si>
    <t>PO-00331</t>
  </si>
  <si>
    <t>PO-00332</t>
  </si>
  <si>
    <t>PO-00333</t>
  </si>
  <si>
    <t>PO-00334</t>
  </si>
  <si>
    <t>PO-00335</t>
  </si>
  <si>
    <t>PO-00336</t>
  </si>
  <si>
    <t>PO-00337</t>
  </si>
  <si>
    <t>PO-00338</t>
  </si>
  <si>
    <t>PO-00339</t>
  </si>
  <si>
    <t>PO-00340</t>
  </si>
  <si>
    <t>PO-00341</t>
  </si>
  <si>
    <t>PO-00342</t>
  </si>
  <si>
    <t>PO-00343</t>
  </si>
  <si>
    <t>PO-00344</t>
  </si>
  <si>
    <t>PO-00345</t>
  </si>
  <si>
    <t>PO-00346</t>
  </si>
  <si>
    <t>PO-00347</t>
  </si>
  <si>
    <t>PO-00348</t>
  </si>
  <si>
    <t>PO-00349</t>
  </si>
  <si>
    <t>PO-00350</t>
  </si>
  <si>
    <t>PO-00351</t>
  </si>
  <si>
    <t>PO-00352</t>
  </si>
  <si>
    <t>PO-00353</t>
  </si>
  <si>
    <t>PO-00354</t>
  </si>
  <si>
    <t>PO-00355</t>
  </si>
  <si>
    <t>PO-00356</t>
  </si>
  <si>
    <t>PO-00357</t>
  </si>
  <si>
    <t>PO-00358</t>
  </si>
  <si>
    <t>PO-00359</t>
  </si>
  <si>
    <t>PO-00360</t>
  </si>
  <si>
    <t>PO-00361</t>
  </si>
  <si>
    <t>PO-00362</t>
  </si>
  <si>
    <t>PO-00363</t>
  </si>
  <si>
    <t>PO-00364</t>
  </si>
  <si>
    <t>PO-00365</t>
  </si>
  <si>
    <t>PO-00366</t>
  </si>
  <si>
    <t>PO-00367</t>
  </si>
  <si>
    <t>PO-00368</t>
  </si>
  <si>
    <t>PO-00369</t>
  </si>
  <si>
    <t>PO-00370</t>
  </si>
  <si>
    <t>PO-00371</t>
  </si>
  <si>
    <t>PO-00372</t>
  </si>
  <si>
    <t>PO-00373</t>
  </si>
  <si>
    <t>PO-00374</t>
  </si>
  <si>
    <t>PO-00375</t>
  </si>
  <si>
    <t>PO-00376</t>
  </si>
  <si>
    <t>PO-00377</t>
  </si>
  <si>
    <t>PO-00378</t>
  </si>
  <si>
    <t>PO-00379</t>
  </si>
  <si>
    <t>PO-00380</t>
  </si>
  <si>
    <t>PO-00381</t>
  </si>
  <si>
    <t>PO-00382</t>
  </si>
  <si>
    <t>PO-00383</t>
  </si>
  <si>
    <t>PO-00384</t>
  </si>
  <si>
    <t>PO-00385</t>
  </si>
  <si>
    <t>PO-00386</t>
  </si>
  <si>
    <t>PO-00387</t>
  </si>
  <si>
    <t>PO-00388</t>
  </si>
  <si>
    <t>PO-00389</t>
  </si>
  <si>
    <t>PO-00390</t>
  </si>
  <si>
    <t>PO-00391</t>
  </si>
  <si>
    <t>PO-00392</t>
  </si>
  <si>
    <t>PO-00393</t>
  </si>
  <si>
    <t>PO-00394</t>
  </si>
  <si>
    <t>PO-00395</t>
  </si>
  <si>
    <t>PO-00396</t>
  </si>
  <si>
    <t>PO-00397</t>
  </si>
  <si>
    <t>PO-00398</t>
  </si>
  <si>
    <t>PO-00399</t>
  </si>
  <si>
    <t>PO-00400</t>
  </si>
  <si>
    <t>PO-00401</t>
  </si>
  <si>
    <t>PO-00402</t>
  </si>
  <si>
    <t>PO-00403</t>
  </si>
  <si>
    <t>PO-00404</t>
  </si>
  <si>
    <t>PO-00405</t>
  </si>
  <si>
    <t>PO-00406</t>
  </si>
  <si>
    <t>PO-00407</t>
  </si>
  <si>
    <t>PO-00408</t>
  </si>
  <si>
    <t>PO-00409</t>
  </si>
  <si>
    <t>PO-00410</t>
  </si>
  <si>
    <t>PO-00411</t>
  </si>
  <si>
    <t>PO-00412</t>
  </si>
  <si>
    <t>PO-00413</t>
  </si>
  <si>
    <t>PO-00414</t>
  </si>
  <si>
    <t>PO-00415</t>
  </si>
  <si>
    <t>PO-00416</t>
  </si>
  <si>
    <t>PO-00417</t>
  </si>
  <si>
    <t>PO-00418</t>
  </si>
  <si>
    <t>PO-00419</t>
  </si>
  <si>
    <t>PO-00420</t>
  </si>
  <si>
    <t>PO-00421</t>
  </si>
  <si>
    <t>PO-00422</t>
  </si>
  <si>
    <t>PO-00423</t>
  </si>
  <si>
    <t>PO-00424</t>
  </si>
  <si>
    <t>PO-00425</t>
  </si>
  <si>
    <t>PO-00426</t>
  </si>
  <si>
    <t>PO-00427</t>
  </si>
  <si>
    <t>PO-00428</t>
  </si>
  <si>
    <t>PO-00429</t>
  </si>
  <si>
    <t>PO-00430</t>
  </si>
  <si>
    <t>PO-00431</t>
  </si>
  <si>
    <t>PO-00432</t>
  </si>
  <si>
    <t>PO-00433</t>
  </si>
  <si>
    <t>PO-00434</t>
  </si>
  <si>
    <t>PO-00435</t>
  </si>
  <si>
    <t>PO-00436</t>
  </si>
  <si>
    <t>PO-00437</t>
  </si>
  <si>
    <t>PO-00438</t>
  </si>
  <si>
    <t>PO-00439</t>
  </si>
  <si>
    <t>PO-00440</t>
  </si>
  <si>
    <t>PO-00441</t>
  </si>
  <si>
    <t>PO-00442</t>
  </si>
  <si>
    <t>PO-00443</t>
  </si>
  <si>
    <t>PO-00444</t>
  </si>
  <si>
    <t>PO-00445</t>
  </si>
  <si>
    <t>PO-00446</t>
  </si>
  <si>
    <t>PO-00447</t>
  </si>
  <si>
    <t>PO-00448</t>
  </si>
  <si>
    <t>PO-00449</t>
  </si>
  <si>
    <t>PO-00450</t>
  </si>
  <si>
    <t>PO-00451</t>
  </si>
  <si>
    <t>PO-00452</t>
  </si>
  <si>
    <t>PO-00453</t>
  </si>
  <si>
    <t>PO-00454</t>
  </si>
  <si>
    <t>PO-00455</t>
  </si>
  <si>
    <t>PO-00456</t>
  </si>
  <si>
    <t>PO-00457</t>
  </si>
  <si>
    <t>PO-00458</t>
  </si>
  <si>
    <t>PO-00459</t>
  </si>
  <si>
    <t>PO-00460</t>
  </si>
  <si>
    <t>PO-00461</t>
  </si>
  <si>
    <t>PO-00462</t>
  </si>
  <si>
    <t>PO-00463</t>
  </si>
  <si>
    <t>PO-00464</t>
  </si>
  <si>
    <t>PO-00465</t>
  </si>
  <si>
    <t>PO-00466</t>
  </si>
  <si>
    <t>PO-00467</t>
  </si>
  <si>
    <t>PO-00468</t>
  </si>
  <si>
    <t>PO-00469</t>
  </si>
  <si>
    <t>PO-00470</t>
  </si>
  <si>
    <t>PO-00471</t>
  </si>
  <si>
    <t>PO-00472</t>
  </si>
  <si>
    <t>PO-00473</t>
  </si>
  <si>
    <t>PO-00474</t>
  </si>
  <si>
    <t>PO-00475</t>
  </si>
  <si>
    <t>PO-00476</t>
  </si>
  <si>
    <t>PO-00477</t>
  </si>
  <si>
    <t>PO-00478</t>
  </si>
  <si>
    <t>PO-00479</t>
  </si>
  <si>
    <t>PO-00480</t>
  </si>
  <si>
    <t>PO-00481</t>
  </si>
  <si>
    <t>PO-00482</t>
  </si>
  <si>
    <t>PO-00483</t>
  </si>
  <si>
    <t>PO-00484</t>
  </si>
  <si>
    <t>PO-00485</t>
  </si>
  <si>
    <t>PO-00486</t>
  </si>
  <si>
    <t>PO-00487</t>
  </si>
  <si>
    <t>PO-00488</t>
  </si>
  <si>
    <t>PO-00489</t>
  </si>
  <si>
    <t>PO-00490</t>
  </si>
  <si>
    <t>PO-00491</t>
  </si>
  <si>
    <t>PO-00492</t>
  </si>
  <si>
    <t>PO-00493</t>
  </si>
  <si>
    <t>PO-00494</t>
  </si>
  <si>
    <t>PO-00495</t>
  </si>
  <si>
    <t>PO-00496</t>
  </si>
  <si>
    <t>PO-00497</t>
  </si>
  <si>
    <t>PO-00498</t>
  </si>
  <si>
    <t>PO-00499</t>
  </si>
  <si>
    <t>PO-00500</t>
  </si>
  <si>
    <t>PO-00501</t>
  </si>
  <si>
    <t>PO-00502</t>
  </si>
  <si>
    <t>PO-00503</t>
  </si>
  <si>
    <t>PO-00504</t>
  </si>
  <si>
    <t>PO-00505</t>
  </si>
  <si>
    <t>PO-00506</t>
  </si>
  <si>
    <t>PO-00507</t>
  </si>
  <si>
    <t>PO-00508</t>
  </si>
  <si>
    <t>PO-00509</t>
  </si>
  <si>
    <t>PO-00510</t>
  </si>
  <si>
    <t>PO-00511</t>
  </si>
  <si>
    <t>PO-00512</t>
  </si>
  <si>
    <t>PO-00513</t>
  </si>
  <si>
    <t>PO-00514</t>
  </si>
  <si>
    <t>PO-00515</t>
  </si>
  <si>
    <t>PO-00516</t>
  </si>
  <si>
    <t>PO-00517</t>
  </si>
  <si>
    <t>PO-00518</t>
  </si>
  <si>
    <t>PO-00519</t>
  </si>
  <si>
    <t>PO-00520</t>
  </si>
  <si>
    <t>PO-00521</t>
  </si>
  <si>
    <t>PO-00522</t>
  </si>
  <si>
    <t>PO-00523</t>
  </si>
  <si>
    <t>PO-00524</t>
  </si>
  <si>
    <t>PO-00525</t>
  </si>
  <si>
    <t>PO-00526</t>
  </si>
  <si>
    <t>PO-00527</t>
  </si>
  <si>
    <t>PO-00528</t>
  </si>
  <si>
    <t>PO-00529</t>
  </si>
  <si>
    <t>PO-00530</t>
  </si>
  <si>
    <t>PO-00531</t>
  </si>
  <si>
    <t>PO-00532</t>
  </si>
  <si>
    <t>PO-00533</t>
  </si>
  <si>
    <t>PO-00534</t>
  </si>
  <si>
    <t>PO-00535</t>
  </si>
  <si>
    <t>PO-00536</t>
  </si>
  <si>
    <t>PO-00537</t>
  </si>
  <si>
    <t>PO-00538</t>
  </si>
  <si>
    <t>PO-00539</t>
  </si>
  <si>
    <t>PO-00540</t>
  </si>
  <si>
    <t>PO-00541</t>
  </si>
  <si>
    <t>PO-00542</t>
  </si>
  <si>
    <t>PO-00543</t>
  </si>
  <si>
    <t>PO-00544</t>
  </si>
  <si>
    <t>PO-00545</t>
  </si>
  <si>
    <t>PO-00546</t>
  </si>
  <si>
    <t>PO-00547</t>
  </si>
  <si>
    <t>PO-00548</t>
  </si>
  <si>
    <t>PO-00549</t>
  </si>
  <si>
    <t>PO-00550</t>
  </si>
  <si>
    <t>PO-00551</t>
  </si>
  <si>
    <t>PO-00552</t>
  </si>
  <si>
    <t>PO-00553</t>
  </si>
  <si>
    <t>PO-00554</t>
  </si>
  <si>
    <t>PO-00555</t>
  </si>
  <si>
    <t>PO-00556</t>
  </si>
  <si>
    <t>PO-00557</t>
  </si>
  <si>
    <t>PO-00558</t>
  </si>
  <si>
    <t>PO-00559</t>
  </si>
  <si>
    <t>PO-00560</t>
  </si>
  <si>
    <t>PO-00561</t>
  </si>
  <si>
    <t>PO-00562</t>
  </si>
  <si>
    <t>PO-00563</t>
  </si>
  <si>
    <t>PO-00564</t>
  </si>
  <si>
    <t>PO-00565</t>
  </si>
  <si>
    <t>PO-00566</t>
  </si>
  <si>
    <t>PO-00567</t>
  </si>
  <si>
    <t>PO-00568</t>
  </si>
  <si>
    <t>PO-00569</t>
  </si>
  <si>
    <t>PO-00570</t>
  </si>
  <si>
    <t>PO-00571</t>
  </si>
  <si>
    <t>PO-00572</t>
  </si>
  <si>
    <t>PO-00573</t>
  </si>
  <si>
    <t>PO-00574</t>
  </si>
  <si>
    <t>PO-00575</t>
  </si>
  <si>
    <t>PO-00576</t>
  </si>
  <si>
    <t>PO-00577</t>
  </si>
  <si>
    <t>PO-00578</t>
  </si>
  <si>
    <t>PO-00579</t>
  </si>
  <si>
    <t>PO-00580</t>
  </si>
  <si>
    <t>PO-00581</t>
  </si>
  <si>
    <t>PO-00582</t>
  </si>
  <si>
    <t>PO-00583</t>
  </si>
  <si>
    <t>PO-00584</t>
  </si>
  <si>
    <t>PO-00585</t>
  </si>
  <si>
    <t>PO-00586</t>
  </si>
  <si>
    <t>PO-00587</t>
  </si>
  <si>
    <t>PO-00588</t>
  </si>
  <si>
    <t>PO-00589</t>
  </si>
  <si>
    <t>PO-00590</t>
  </si>
  <si>
    <t>PO-00591</t>
  </si>
  <si>
    <t>PO-00592</t>
  </si>
  <si>
    <t>PO-00593</t>
  </si>
  <si>
    <t>PO-00594</t>
  </si>
  <si>
    <t>PO-00595</t>
  </si>
  <si>
    <t>PO-00596</t>
  </si>
  <si>
    <t>PO-00597</t>
  </si>
  <si>
    <t>PO-00598</t>
  </si>
  <si>
    <t>PO-00599</t>
  </si>
  <si>
    <t>PO-00600</t>
  </si>
  <si>
    <t>PO-00601</t>
  </si>
  <si>
    <t>PO-00602</t>
  </si>
  <si>
    <t>PO-00603</t>
  </si>
  <si>
    <t>PO-00604</t>
  </si>
  <si>
    <t>PO-00605</t>
  </si>
  <si>
    <t>PO-00606</t>
  </si>
  <si>
    <t>PO-00607</t>
  </si>
  <si>
    <t>PO-00608</t>
  </si>
  <si>
    <t>PO-00609</t>
  </si>
  <si>
    <t>PO-00610</t>
  </si>
  <si>
    <t>PO-00611</t>
  </si>
  <si>
    <t>PO-00612</t>
  </si>
  <si>
    <t>PO-00613</t>
  </si>
  <si>
    <t>PO-00614</t>
  </si>
  <si>
    <t>PO-00615</t>
  </si>
  <si>
    <t>PO-00616</t>
  </si>
  <si>
    <t>PO-00617</t>
  </si>
  <si>
    <t>PO-00618</t>
  </si>
  <si>
    <t>PO-00619</t>
  </si>
  <si>
    <t>PO-00620</t>
  </si>
  <si>
    <t>PO-00621</t>
  </si>
  <si>
    <t>PO-00622</t>
  </si>
  <si>
    <t>PO-00623</t>
  </si>
  <si>
    <t>PO-00624</t>
  </si>
  <si>
    <t>PO-00625</t>
  </si>
  <si>
    <t>PO-00626</t>
  </si>
  <si>
    <t>PO-00627</t>
  </si>
  <si>
    <t>PO-00628</t>
  </si>
  <si>
    <t>PO-00629</t>
  </si>
  <si>
    <t>PO-00630</t>
  </si>
  <si>
    <t>PO-00631</t>
  </si>
  <si>
    <t>PO-00632</t>
  </si>
  <si>
    <t>PO-00633</t>
  </si>
  <si>
    <t>PO-00634</t>
  </si>
  <si>
    <t>PO-00635</t>
  </si>
  <si>
    <t>PO-00636</t>
  </si>
  <si>
    <t>PO-00637</t>
  </si>
  <si>
    <t>PO-00638</t>
  </si>
  <si>
    <t>PO-00639</t>
  </si>
  <si>
    <t>PO-00640</t>
  </si>
  <si>
    <t>PO-00641</t>
  </si>
  <si>
    <t>PO-00642</t>
  </si>
  <si>
    <t>PO-00643</t>
  </si>
  <si>
    <t>PO-00644</t>
  </si>
  <si>
    <t>PO-00645</t>
  </si>
  <si>
    <t>PO-00646</t>
  </si>
  <si>
    <t>PO-00647</t>
  </si>
  <si>
    <t>PO-00648</t>
  </si>
  <si>
    <t>PO-00649</t>
  </si>
  <si>
    <t>PO-00650</t>
  </si>
  <si>
    <t>PO-00651</t>
  </si>
  <si>
    <t>PO-00652</t>
  </si>
  <si>
    <t>PO-00653</t>
  </si>
  <si>
    <t>PO-00654</t>
  </si>
  <si>
    <t>PO-00655</t>
  </si>
  <si>
    <t>PO-00656</t>
  </si>
  <si>
    <t>PO-00657</t>
  </si>
  <si>
    <t>PO-00658</t>
  </si>
  <si>
    <t>PO-00659</t>
  </si>
  <si>
    <t>PO-00660</t>
  </si>
  <si>
    <t>PO-00661</t>
  </si>
  <si>
    <t>PO-00662</t>
  </si>
  <si>
    <t>PO-00663</t>
  </si>
  <si>
    <t>PO-00664</t>
  </si>
  <si>
    <t>PO-00665</t>
  </si>
  <si>
    <t>PO-00666</t>
  </si>
  <si>
    <t>PO-00667</t>
  </si>
  <si>
    <t>PO-00668</t>
  </si>
  <si>
    <t>PO-00669</t>
  </si>
  <si>
    <t>PO-00670</t>
  </si>
  <si>
    <t>PO-00671</t>
  </si>
  <si>
    <t>PO-00672</t>
  </si>
  <si>
    <t>PO-00673</t>
  </si>
  <si>
    <t>PO-00674</t>
  </si>
  <si>
    <t>PO-00675</t>
  </si>
  <si>
    <t>PO-00676</t>
  </si>
  <si>
    <t>PO-00677</t>
  </si>
  <si>
    <t>PO-00678</t>
  </si>
  <si>
    <t>PO-00679</t>
  </si>
  <si>
    <t>PO-00680</t>
  </si>
  <si>
    <t>PO-00681</t>
  </si>
  <si>
    <t>PO-00682</t>
  </si>
  <si>
    <t>PO-00683</t>
  </si>
  <si>
    <t>PO-00684</t>
  </si>
  <si>
    <t>PO-00685</t>
  </si>
  <si>
    <t>PO-00686</t>
  </si>
  <si>
    <t>PO-00687</t>
  </si>
  <si>
    <t>PO-00688</t>
  </si>
  <si>
    <t>PO-00689</t>
  </si>
  <si>
    <t>PO-00690</t>
  </si>
  <si>
    <t>PO-00691</t>
  </si>
  <si>
    <t>PO-00692</t>
  </si>
  <si>
    <t>PO-00693</t>
  </si>
  <si>
    <t>PO-00694</t>
  </si>
  <si>
    <t>PO-00695</t>
  </si>
  <si>
    <t>PO-00696</t>
  </si>
  <si>
    <t>PO-00697</t>
  </si>
  <si>
    <t>PO-00698</t>
  </si>
  <si>
    <t>PO-00699</t>
  </si>
  <si>
    <t>PO-00700</t>
  </si>
  <si>
    <t>PO-00701</t>
  </si>
  <si>
    <t>PO-00702</t>
  </si>
  <si>
    <t>PO-00703</t>
  </si>
  <si>
    <t>PO-00704</t>
  </si>
  <si>
    <t>PO-00705</t>
  </si>
  <si>
    <t>PO-00706</t>
  </si>
  <si>
    <t>PO-00707</t>
  </si>
  <si>
    <t>PO-00708</t>
  </si>
  <si>
    <t>PO-00709</t>
  </si>
  <si>
    <t>PO-00710</t>
  </si>
  <si>
    <t>PO-00711</t>
  </si>
  <si>
    <t>PO-00712</t>
  </si>
  <si>
    <t>PO-00713</t>
  </si>
  <si>
    <t>PO-00714</t>
  </si>
  <si>
    <t>PO-00715</t>
  </si>
  <si>
    <t>PO-00716</t>
  </si>
  <si>
    <t>PO-00717</t>
  </si>
  <si>
    <t>PO-00718</t>
  </si>
  <si>
    <t>PO-00719</t>
  </si>
  <si>
    <t>PO-00720</t>
  </si>
  <si>
    <t>PO-00721</t>
  </si>
  <si>
    <t>PO-00722</t>
  </si>
  <si>
    <t>PO-00723</t>
  </si>
  <si>
    <t>PO-00724</t>
  </si>
  <si>
    <t>PO-00725</t>
  </si>
  <si>
    <t>PO-00726</t>
  </si>
  <si>
    <t>PO-00727</t>
  </si>
  <si>
    <t>PO-00728</t>
  </si>
  <si>
    <t>PO-00729</t>
  </si>
  <si>
    <t>PO-00730</t>
  </si>
  <si>
    <t>PO-00731</t>
  </si>
  <si>
    <t>PO-00732</t>
  </si>
  <si>
    <t>PO-00733</t>
  </si>
  <si>
    <t>PO-00734</t>
  </si>
  <si>
    <t>PO-00735</t>
  </si>
  <si>
    <t>PO-00736</t>
  </si>
  <si>
    <t>PO-00737</t>
  </si>
  <si>
    <t>PO-00738</t>
  </si>
  <si>
    <t>PO-00739</t>
  </si>
  <si>
    <t>PO-00740</t>
  </si>
  <si>
    <t>PO-00741</t>
  </si>
  <si>
    <t>PO-00742</t>
  </si>
  <si>
    <t>PO-00743</t>
  </si>
  <si>
    <t>PO-00744</t>
  </si>
  <si>
    <t>PO-00745</t>
  </si>
  <si>
    <t>PO-00746</t>
  </si>
  <si>
    <t>PO-00747</t>
  </si>
  <si>
    <t>PO-00748</t>
  </si>
  <si>
    <t>PO-00749</t>
  </si>
  <si>
    <t>PO-00750</t>
  </si>
  <si>
    <t>PO-00751</t>
  </si>
  <si>
    <t>PO-00752</t>
  </si>
  <si>
    <t>PO-00753</t>
  </si>
  <si>
    <t>PO-00754</t>
  </si>
  <si>
    <t>PO-00755</t>
  </si>
  <si>
    <t>PO-00756</t>
  </si>
  <si>
    <t>PO-00757</t>
  </si>
  <si>
    <t>PO-00758</t>
  </si>
  <si>
    <t>PO-00759</t>
  </si>
  <si>
    <t>PO-00760</t>
  </si>
  <si>
    <t>PO-00761</t>
  </si>
  <si>
    <t>PO-00762</t>
  </si>
  <si>
    <t>PO-00763</t>
  </si>
  <si>
    <t>PO-00764</t>
  </si>
  <si>
    <t>PO-00765</t>
  </si>
  <si>
    <t>PO-00766</t>
  </si>
  <si>
    <t>PO-00767</t>
  </si>
  <si>
    <t>PO-00768</t>
  </si>
  <si>
    <t>PO-00769</t>
  </si>
  <si>
    <t>PO-00770</t>
  </si>
  <si>
    <t>PO-00771</t>
  </si>
  <si>
    <t>PO-00772</t>
  </si>
  <si>
    <t>PO-00773</t>
  </si>
  <si>
    <t>PO-00774</t>
  </si>
  <si>
    <t>PO-00775</t>
  </si>
  <si>
    <t>PO-00776</t>
  </si>
  <si>
    <t>PO-00777</t>
  </si>
  <si>
    <t>Count of PO_ID</t>
  </si>
  <si>
    <t>Row Labels</t>
  </si>
  <si>
    <t>Grand Total</t>
  </si>
  <si>
    <t>Column Labels</t>
  </si>
  <si>
    <t>Sum of Quantity</t>
  </si>
  <si>
    <t>Sum of Negotiated_Price</t>
  </si>
  <si>
    <t>Sum of Unit_Price</t>
  </si>
  <si>
    <t>Count of Compliance</t>
  </si>
  <si>
    <t>Count of Item_Category</t>
  </si>
  <si>
    <t>Avg. Delivery Lead Time</t>
  </si>
  <si>
    <t>Saving Per unit</t>
  </si>
  <si>
    <t>Saving Percentage</t>
  </si>
  <si>
    <t>Total Cost Savings</t>
  </si>
  <si>
    <t>Average of Avg. Delivery Lead Time</t>
  </si>
  <si>
    <t>Average of Saving Percentage</t>
  </si>
  <si>
    <t>(Multiple Items)</t>
  </si>
  <si>
    <t>Sum of Total Cost Savings</t>
  </si>
  <si>
    <t xml:space="preserve">    mmmmmmmmmmmmmmm,,,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</si>
</sst>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0.0"/>
    <numFmt numFmtId="165" formatCode="_(* #,##0_);_(* \(#,##0\);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vertical="center"/>
    </xf>
    <xf numFmtId="0" fontId="0" fillId="0" borderId="0" xfId="0" applyAlignment="1">
      <alignment horizontal="center"/>
    </xf>
    <xf numFmtId="14" fontId="0" fillId="0" borderId="0" xfId="0" applyNumberFormat="1" applyAlignment="1">
      <alignment horizontal="center" vertical="center"/>
    </xf>
    <xf numFmtId="9" fontId="0" fillId="0" borderId="0" xfId="1" applyFont="1" applyAlignment="1">
      <alignment horizontal="center"/>
    </xf>
    <xf numFmtId="164" fontId="0" fillId="33" borderId="0" xfId="0" applyNumberFormat="1" applyFill="1" applyAlignment="1">
      <alignment horizontal="center"/>
    </xf>
    <xf numFmtId="0" fontId="0" fillId="33" borderId="0" xfId="0" applyFill="1" applyAlignment="1">
      <alignment horizontal="center" vertical="center"/>
    </xf>
    <xf numFmtId="0" fontId="0" fillId="33" borderId="0" xfId="0" applyFill="1" applyAlignment="1">
      <alignment horizontal="center"/>
    </xf>
    <xf numFmtId="2" fontId="0" fillId="0" borderId="0" xfId="0" applyNumberFormat="1"/>
    <xf numFmtId="9" fontId="0" fillId="0" borderId="0" xfId="0" applyNumberFormat="1"/>
    <xf numFmtId="9" fontId="0" fillId="0" borderId="0" xfId="0" pivotButton="1" applyNumberFormat="1"/>
    <xf numFmtId="9" fontId="0" fillId="0" borderId="0" xfId="0" applyNumberFormat="1" applyAlignment="1">
      <alignment horizontal="left"/>
    </xf>
    <xf numFmtId="9" fontId="0" fillId="33" borderId="0" xfId="0" applyNumberFormat="1" applyFill="1" applyAlignment="1">
      <alignment horizontal="center"/>
    </xf>
    <xf numFmtId="165" fontId="0" fillId="0" borderId="0" xfId="0" applyNumberFormat="1"/>
    <xf numFmtId="165" fontId="0" fillId="0" borderId="0" xfId="43" applyNumberFormat="1" applyFont="1"/>
    <xf numFmtId="0" fontId="0" fillId="0" borderId="0" xfId="0" applyNumberFormat="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43"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4">
    <dxf>
      <numFmt numFmtId="165" formatCode="_(* #,##0_);_(* \(#,##0\);_(* &quot;-&quot;??_);_(@_)"/>
    </dxf>
    <dxf>
      <numFmt numFmtId="165" formatCode="_(* #,##0_);_(* \(#,##0\);_(* &quot;-&quot;??_);_(@_)"/>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65" formatCode="_(* #,##0_);_(* \(#,##0\);_(* &quot;-&quot;??_);_(@_)"/>
    </dxf>
    <dxf>
      <numFmt numFmtId="2" formatCode="0.00"/>
    </dxf>
    <dxf>
      <numFmt numFmtId="165" formatCode="_(* #,##0_);_(* \(#,##0\);_(* &quot;-&quot;??_);_(@_)"/>
    </dxf>
    <dxf>
      <numFmt numFmtId="165" formatCode="_(* #,##0_);_(* \(#,##0\);_(* &quot;-&quot;??_);_(@_)"/>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65" formatCode="_(* #,##0_);_(* \(#,##0\);_(* &quot;-&quot;??_);_(@_)"/>
    </dxf>
    <dxf>
      <numFmt numFmtId="2" formatCode="0.00"/>
    </dxf>
    <dxf>
      <numFmt numFmtId="165" formatCode="_(* #,##0_);_(* \(#,##0\);_(* &quot;-&quot;??_);_(@_)"/>
    </dxf>
    <dxf>
      <numFmt numFmtId="165" formatCode="_(* #,##0_);_(* \(#,##0\);_(* &quot;-&quot;??_);_(@_)"/>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65" formatCode="_(* #,##0_);_(* \(#,##0\);_(* &quot;-&quot;??_);_(@_)"/>
    </dxf>
    <dxf>
      <numFmt numFmtId="2" formatCode="0.00"/>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numFmt numFmtId="165" formatCode="_(* #,##0_);_(* \(#,##0\);_(* &quot;-&quot;??_);_(@_)"/>
    </dxf>
    <dxf>
      <numFmt numFmtId="13" formatCode="0%"/>
    </dxf>
    <dxf>
      <numFmt numFmtId="2" formatCode="0.00"/>
    </dxf>
    <dxf>
      <numFmt numFmtId="165" formatCode="_(* #,##0_);_(* \(#,##0\);_(* &quot;-&quot;??_);_(@_)"/>
    </dxf>
    <dxf>
      <numFmt numFmtId="13" formatCode="0%"/>
    </dxf>
    <dxf>
      <numFmt numFmtId="13" formatCode="0%"/>
    </dxf>
    <dxf>
      <numFmt numFmtId="13" formatCode="0%"/>
    </dxf>
    <dxf>
      <numFmt numFmtId="13" formatCode="0%"/>
    </dxf>
    <dxf>
      <numFmt numFmtId="165" formatCode="_(* #,##0_);_(* \(#,##0\);_(* &quot;-&quot;??_);_(@_)"/>
    </dxf>
    <dxf>
      <numFmt numFmtId="2" formatCode="0.00"/>
    </dxf>
    <dxf>
      <numFmt numFmtId="2" formatCode="0.00"/>
    </dxf>
    <dxf>
      <font>
        <b/>
        <sz val="11"/>
        <color theme="1"/>
      </font>
    </dxf>
    <dxf>
      <font>
        <b val="0"/>
        <i val="0"/>
        <sz val="11"/>
        <color theme="4" tint="-0.24994659260841701"/>
        <name val="Aptos Display"/>
        <family val="2"/>
        <scheme val="major"/>
      </font>
      <fill>
        <patternFill patternType="solid">
          <fgColor theme="0"/>
          <bgColor theme="1" tint="0.34998626667073579"/>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1" tint="0.499984740745262"/>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z val="11"/>
        <color theme="0"/>
        <name val="Aptos Display"/>
        <family val="2"/>
        <scheme val="major"/>
      </font>
      <fill>
        <patternFill>
          <bgColor theme="1" tint="0.34998626667073579"/>
        </patternFill>
      </fill>
    </dxf>
    <dxf>
      <font>
        <b val="0"/>
        <i val="0"/>
        <sz val="11"/>
        <color theme="0"/>
        <name val="Aptos Display"/>
        <family val="2"/>
        <scheme val="major"/>
      </font>
      <fill>
        <patternFill patternType="darkUp">
          <fgColor theme="4" tint="-0.24994659260841701"/>
          <bgColor theme="1" tint="0.24994659260841701"/>
        </patternFill>
      </fill>
    </dxf>
  </dxfs>
  <tableStyles count="4" defaultTableStyle="TableStyleMedium2" defaultPivotStyle="PivotStyleLight16">
    <tableStyle name="Slicer Style 1" pivot="0" table="0" count="1" xr9:uid="{0685786C-E3AE-489B-AF75-14163E156BBA}">
      <tableStyleElement type="wholeTable" dxfId="53"/>
    </tableStyle>
    <tableStyle name="Slicer Style 2" pivot="0" table="0" count="1" xr9:uid="{5A37EC33-CC44-4E31-8DF3-4D3E652F7D44}">
      <tableStyleElement type="wholeTable" dxfId="52"/>
    </tableStyle>
    <tableStyle name="Timeline Style 1" pivot="0" table="0" count="8" xr9:uid="{ABC37AA4-CC97-4A43-9F87-EEC6E6401DEF}">
      <tableStyleElement type="wholeTable" dxfId="51"/>
      <tableStyleElement type="headerRow" dxfId="50"/>
    </tableStyle>
    <tableStyle name="Timeline Style 2" pivot="0" table="0" count="8" xr9:uid="{B5DDF35C-528A-41E1-8FEB-7F324270AF4F}">
      <tableStyleElement type="wholeTable" dxfId="49"/>
      <tableStyleElement type="headerRow" dxfId="48"/>
    </tableStyle>
  </tableStyles>
  <colors>
    <mruColors>
      <color rgb="FF24DCCF"/>
      <color rgb="FF25E3CC"/>
      <color rgb="FF9A000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[PROCUREMENT PERFORMANCE DASHBOARD.xlsx]PVT!PivotTable3</c:name>
    <c:fmtId val="3"/>
  </c:pivotSource>
  <c:chart>
    <c:title>
      <c:tx>
        <c:rich>
          <a:bodyPr rot="0" spcFirstLastPara="1" vertOverflow="ellipsis" vert="horz" wrap="square" anchor="ctr" anchorCtr="1"/>
          <a:lstStyle/>
          <a:p>
            <a:pPr algn="ctr" rtl="0">
              <a:defRPr lang="en-US" sz="1200" b="1" i="0" u="none" strike="noStrike" kern="1200" cap="none" spc="100" baseline="0">
                <a:solidFill>
                  <a:sysClr val="window" lastClr="FFFFFF">
                    <a:lumMod val="85000"/>
                  </a:sysClr>
                </a:solidFill>
                <a:effectLst>
                  <a:outerShdw blurRad="50800" dist="38100" dir="5400000" algn="t" rotWithShape="0">
                    <a:prstClr val="black">
                      <a:alpha val="40000"/>
                    </a:prstClr>
                  </a:outerShdw>
                </a:effectLst>
                <a:latin typeface="+mn-lt"/>
                <a:ea typeface="+mn-ea"/>
                <a:cs typeface="+mn-cs"/>
              </a:defRPr>
            </a:pPr>
            <a:r>
              <a:rPr lang="en-US" sz="1200" b="1" i="0" u="none" strike="noStrike" kern="1200" cap="none" spc="100" baseline="0">
                <a:solidFill>
                  <a:sysClr val="window" lastClr="FFFFFF">
                    <a:lumMod val="85000"/>
                  </a:sysClr>
                </a:solidFill>
                <a:effectLst>
                  <a:outerShdw blurRad="50800" dist="38100" dir="5400000" algn="t" rotWithShape="0">
                    <a:prstClr val="black">
                      <a:alpha val="40000"/>
                    </a:prstClr>
                  </a:outerShdw>
                </a:effectLst>
                <a:latin typeface="+mn-lt"/>
                <a:ea typeface="+mn-ea"/>
                <a:cs typeface="+mn-cs"/>
              </a:rPr>
              <a:t>Item Category by Supplier</a:t>
            </a:r>
          </a:p>
        </c:rich>
      </c:tx>
      <c:layout>
        <c:manualLayout>
          <c:xMode val="edge"/>
          <c:yMode val="edge"/>
          <c:x val="0.28504718923145445"/>
          <c:y val="0"/>
        </c:manualLayout>
      </c:layout>
      <c:overlay val="0"/>
      <c:spPr>
        <a:noFill/>
        <a:ln>
          <a:noFill/>
        </a:ln>
        <a:effectLst/>
      </c:spPr>
      <c:txPr>
        <a:bodyPr rot="0" spcFirstLastPara="1" vertOverflow="ellipsis" vert="horz" wrap="square" anchor="ctr" anchorCtr="1"/>
        <a:lstStyle/>
        <a:p>
          <a:pPr algn="ctr" rtl="0">
            <a:defRPr lang="en-US" sz="1200" b="1" i="0" u="none" strike="noStrike" kern="1200" cap="none" spc="100" baseline="0">
              <a:solidFill>
                <a:sysClr val="window" lastClr="FFFFFF">
                  <a:lumMod val="8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878241888309664E-3"/>
          <c:y val="0.16942347325979132"/>
          <c:w val="0.99721217581116905"/>
          <c:h val="0.55218339480184586"/>
        </c:manualLayout>
      </c:layout>
      <c:barChart>
        <c:barDir val="col"/>
        <c:grouping val="stacked"/>
        <c:varyColors val="0"/>
        <c:ser>
          <c:idx val="0"/>
          <c:order val="0"/>
          <c:tx>
            <c:strRef>
              <c:f>PVT!$H$3:$H$4</c:f>
              <c:strCache>
                <c:ptCount val="1"/>
                <c:pt idx="0">
                  <c:v>Electronics</c:v>
                </c:pt>
              </c:strCache>
            </c:strRef>
          </c:tx>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PVT!$G$5:$G$10</c:f>
              <c:strCache>
                <c:ptCount val="5"/>
                <c:pt idx="0">
                  <c:v>Alpha_Inc</c:v>
                </c:pt>
                <c:pt idx="1">
                  <c:v>Beta_Supplies</c:v>
                </c:pt>
                <c:pt idx="2">
                  <c:v>Delta_Logistics</c:v>
                </c:pt>
                <c:pt idx="3">
                  <c:v>Epsilon_Group</c:v>
                </c:pt>
                <c:pt idx="4">
                  <c:v>Gamma_Co</c:v>
                </c:pt>
              </c:strCache>
            </c:strRef>
          </c:cat>
          <c:val>
            <c:numRef>
              <c:f>PVT!$H$5:$H$10</c:f>
              <c:numCache>
                <c:formatCode>General</c:formatCode>
                <c:ptCount val="5"/>
                <c:pt idx="0">
                  <c:v>22</c:v>
                </c:pt>
                <c:pt idx="1">
                  <c:v>32</c:v>
                </c:pt>
                <c:pt idx="2">
                  <c:v>33</c:v>
                </c:pt>
                <c:pt idx="3">
                  <c:v>36</c:v>
                </c:pt>
                <c:pt idx="4">
                  <c:v>29</c:v>
                </c:pt>
              </c:numCache>
            </c:numRef>
          </c:val>
          <c:extLst>
            <c:ext xmlns:c16="http://schemas.microsoft.com/office/drawing/2014/chart" uri="{C3380CC4-5D6E-409C-BE32-E72D297353CC}">
              <c16:uniqueId val="{00000000-B9B4-4F9C-AAEE-9841B7B44754}"/>
            </c:ext>
          </c:extLst>
        </c:ser>
        <c:ser>
          <c:idx val="1"/>
          <c:order val="1"/>
          <c:tx>
            <c:strRef>
              <c:f>PVT!$I$3:$I$4</c:f>
              <c:strCache>
                <c:ptCount val="1"/>
                <c:pt idx="0">
                  <c:v>MRO</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PVT!$G$5:$G$10</c:f>
              <c:strCache>
                <c:ptCount val="5"/>
                <c:pt idx="0">
                  <c:v>Alpha_Inc</c:v>
                </c:pt>
                <c:pt idx="1">
                  <c:v>Beta_Supplies</c:v>
                </c:pt>
                <c:pt idx="2">
                  <c:v>Delta_Logistics</c:v>
                </c:pt>
                <c:pt idx="3">
                  <c:v>Epsilon_Group</c:v>
                </c:pt>
                <c:pt idx="4">
                  <c:v>Gamma_Co</c:v>
                </c:pt>
              </c:strCache>
            </c:strRef>
          </c:cat>
          <c:val>
            <c:numRef>
              <c:f>PVT!$I$5:$I$10</c:f>
              <c:numCache>
                <c:formatCode>General</c:formatCode>
                <c:ptCount val="5"/>
                <c:pt idx="0">
                  <c:v>35</c:v>
                </c:pt>
                <c:pt idx="1">
                  <c:v>26</c:v>
                </c:pt>
                <c:pt idx="2">
                  <c:v>34</c:v>
                </c:pt>
                <c:pt idx="3">
                  <c:v>39</c:v>
                </c:pt>
                <c:pt idx="4">
                  <c:v>30</c:v>
                </c:pt>
              </c:numCache>
            </c:numRef>
          </c:val>
          <c:extLst>
            <c:ext xmlns:c16="http://schemas.microsoft.com/office/drawing/2014/chart" uri="{C3380CC4-5D6E-409C-BE32-E72D297353CC}">
              <c16:uniqueId val="{00000005-DF08-4594-951E-EE45D208A8B3}"/>
            </c:ext>
          </c:extLst>
        </c:ser>
        <c:ser>
          <c:idx val="2"/>
          <c:order val="2"/>
          <c:tx>
            <c:strRef>
              <c:f>PVT!$J$3:$J$4</c:f>
              <c:strCache>
                <c:ptCount val="1"/>
                <c:pt idx="0">
                  <c:v>Office Supplies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PVT!$G$5:$G$10</c:f>
              <c:strCache>
                <c:ptCount val="5"/>
                <c:pt idx="0">
                  <c:v>Alpha_Inc</c:v>
                </c:pt>
                <c:pt idx="1">
                  <c:v>Beta_Supplies</c:v>
                </c:pt>
                <c:pt idx="2">
                  <c:v>Delta_Logistics</c:v>
                </c:pt>
                <c:pt idx="3">
                  <c:v>Epsilon_Group</c:v>
                </c:pt>
                <c:pt idx="4">
                  <c:v>Gamma_Co</c:v>
                </c:pt>
              </c:strCache>
            </c:strRef>
          </c:cat>
          <c:val>
            <c:numRef>
              <c:f>PVT!$J$5:$J$10</c:f>
              <c:numCache>
                <c:formatCode>General</c:formatCode>
                <c:ptCount val="5"/>
                <c:pt idx="0">
                  <c:v>39</c:v>
                </c:pt>
                <c:pt idx="1">
                  <c:v>41</c:v>
                </c:pt>
                <c:pt idx="2">
                  <c:v>37</c:v>
                </c:pt>
                <c:pt idx="3">
                  <c:v>34</c:v>
                </c:pt>
                <c:pt idx="4">
                  <c:v>23</c:v>
                </c:pt>
              </c:numCache>
            </c:numRef>
          </c:val>
          <c:extLst>
            <c:ext xmlns:c16="http://schemas.microsoft.com/office/drawing/2014/chart" uri="{C3380CC4-5D6E-409C-BE32-E72D297353CC}">
              <c16:uniqueId val="{00000006-DF08-4594-951E-EE45D208A8B3}"/>
            </c:ext>
          </c:extLst>
        </c:ser>
        <c:ser>
          <c:idx val="3"/>
          <c:order val="3"/>
          <c:tx>
            <c:strRef>
              <c:f>PVT!$K$3:$K$4</c:f>
              <c:strCache>
                <c:ptCount val="1"/>
                <c:pt idx="0">
                  <c:v>Packaging</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PVT!$G$5:$G$10</c:f>
              <c:strCache>
                <c:ptCount val="5"/>
                <c:pt idx="0">
                  <c:v>Alpha_Inc</c:v>
                </c:pt>
                <c:pt idx="1">
                  <c:v>Beta_Supplies</c:v>
                </c:pt>
                <c:pt idx="2">
                  <c:v>Delta_Logistics</c:v>
                </c:pt>
                <c:pt idx="3">
                  <c:v>Epsilon_Group</c:v>
                </c:pt>
                <c:pt idx="4">
                  <c:v>Gamma_Co</c:v>
                </c:pt>
              </c:strCache>
            </c:strRef>
          </c:cat>
          <c:val>
            <c:numRef>
              <c:f>PVT!$K$5:$K$10</c:f>
              <c:numCache>
                <c:formatCode>General</c:formatCode>
                <c:ptCount val="5"/>
                <c:pt idx="0">
                  <c:v>27</c:v>
                </c:pt>
                <c:pt idx="1">
                  <c:v>30</c:v>
                </c:pt>
                <c:pt idx="2">
                  <c:v>29</c:v>
                </c:pt>
                <c:pt idx="3">
                  <c:v>34</c:v>
                </c:pt>
                <c:pt idx="4">
                  <c:v>28</c:v>
                </c:pt>
              </c:numCache>
            </c:numRef>
          </c:val>
          <c:extLst>
            <c:ext xmlns:c16="http://schemas.microsoft.com/office/drawing/2014/chart" uri="{C3380CC4-5D6E-409C-BE32-E72D297353CC}">
              <c16:uniqueId val="{00000007-DF08-4594-951E-EE45D208A8B3}"/>
            </c:ext>
          </c:extLst>
        </c:ser>
        <c:ser>
          <c:idx val="4"/>
          <c:order val="4"/>
          <c:tx>
            <c:strRef>
              <c:f>PVT!$L$3:$L$4</c:f>
              <c:strCache>
                <c:ptCount val="1"/>
                <c:pt idx="0">
                  <c:v>Raw Materials</c:v>
                </c:pt>
              </c:strCache>
            </c:strRef>
          </c:tx>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PVT!$G$5:$G$10</c:f>
              <c:strCache>
                <c:ptCount val="5"/>
                <c:pt idx="0">
                  <c:v>Alpha_Inc</c:v>
                </c:pt>
                <c:pt idx="1">
                  <c:v>Beta_Supplies</c:v>
                </c:pt>
                <c:pt idx="2">
                  <c:v>Delta_Logistics</c:v>
                </c:pt>
                <c:pt idx="3">
                  <c:v>Epsilon_Group</c:v>
                </c:pt>
                <c:pt idx="4">
                  <c:v>Gamma_Co</c:v>
                </c:pt>
              </c:strCache>
            </c:strRef>
          </c:cat>
          <c:val>
            <c:numRef>
              <c:f>PVT!$L$5:$L$10</c:f>
              <c:numCache>
                <c:formatCode>General</c:formatCode>
                <c:ptCount val="5"/>
                <c:pt idx="0">
                  <c:v>18</c:v>
                </c:pt>
                <c:pt idx="1">
                  <c:v>27</c:v>
                </c:pt>
                <c:pt idx="2">
                  <c:v>38</c:v>
                </c:pt>
                <c:pt idx="3">
                  <c:v>23</c:v>
                </c:pt>
                <c:pt idx="4">
                  <c:v>33</c:v>
                </c:pt>
              </c:numCache>
            </c:numRef>
          </c:val>
          <c:extLst>
            <c:ext xmlns:c16="http://schemas.microsoft.com/office/drawing/2014/chart" uri="{C3380CC4-5D6E-409C-BE32-E72D297353CC}">
              <c16:uniqueId val="{00000008-DF08-4594-951E-EE45D208A8B3}"/>
            </c:ext>
          </c:extLst>
        </c:ser>
        <c:dLbls>
          <c:showLegendKey val="0"/>
          <c:showVal val="0"/>
          <c:showCatName val="0"/>
          <c:showSerName val="0"/>
          <c:showPercent val="0"/>
          <c:showBubbleSize val="0"/>
        </c:dLbls>
        <c:gapWidth val="150"/>
        <c:overlap val="100"/>
        <c:axId val="1979642479"/>
        <c:axId val="1979645359"/>
      </c:barChart>
      <c:catAx>
        <c:axId val="19796424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9645359"/>
        <c:crosses val="autoZero"/>
        <c:auto val="1"/>
        <c:lblAlgn val="ctr"/>
        <c:lblOffset val="100"/>
        <c:noMultiLvlLbl val="0"/>
      </c:catAx>
      <c:valAx>
        <c:axId val="1979645359"/>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979642479"/>
        <c:crosses val="autoZero"/>
        <c:crossBetween val="between"/>
      </c:valAx>
      <c:spPr>
        <a:noFill/>
        <a:ln>
          <a:noFill/>
        </a:ln>
        <a:effectLst/>
      </c:spPr>
    </c:plotArea>
    <c:legend>
      <c:legendPos val="r"/>
      <c:layout>
        <c:manualLayout>
          <c:xMode val="edge"/>
          <c:yMode val="edge"/>
          <c:x val="7.2044657290520314E-2"/>
          <c:y val="0.92873041210458873"/>
          <c:w val="0.71620610470366641"/>
          <c:h val="7.126958789541132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[PROCUREMENT PERFORMANCE DASHBOARD.xlsx]PVT!PivotTable10</c:name>
    <c:fmtId val="14"/>
  </c:pivotSource>
  <c:chart>
    <c:title>
      <c:tx>
        <c:rich>
          <a:bodyPr rot="0" spcFirstLastPara="1" vertOverflow="ellipsis" vert="horz" wrap="square" anchor="ctr" anchorCtr="1"/>
          <a:lstStyle/>
          <a:p>
            <a:pPr algn="ctr" rtl="0">
              <a:defRPr lang="en-US" sz="1200" b="1" i="0" u="none" strike="noStrike" kern="1200" cap="none" spc="100" baseline="0">
                <a:solidFill>
                  <a:sysClr val="window" lastClr="FFFFFF">
                    <a:lumMod val="85000"/>
                  </a:sysClr>
                </a:solidFill>
                <a:effectLst>
                  <a:outerShdw blurRad="50800" dist="38100" dir="5400000" algn="t" rotWithShape="0">
                    <a:prstClr val="black">
                      <a:alpha val="40000"/>
                    </a:prstClr>
                  </a:outerShdw>
                </a:effectLst>
                <a:latin typeface="+mn-lt"/>
                <a:ea typeface="+mn-ea"/>
                <a:cs typeface="+mn-cs"/>
              </a:defRPr>
            </a:pPr>
            <a:r>
              <a:rPr lang="en-US" sz="1200" b="1" i="0" u="none" strike="noStrike" kern="1200" cap="none" spc="100" baseline="0">
                <a:solidFill>
                  <a:sysClr val="window" lastClr="FFFFFF">
                    <a:lumMod val="85000"/>
                  </a:sysClr>
                </a:solidFill>
                <a:effectLst>
                  <a:outerShdw blurRad="50800" dist="38100" dir="5400000" algn="t" rotWithShape="0">
                    <a:prstClr val="black">
                      <a:alpha val="40000"/>
                    </a:prstClr>
                  </a:outerShdw>
                </a:effectLst>
                <a:latin typeface="+mn-lt"/>
                <a:ea typeface="+mn-ea"/>
                <a:cs typeface="+mn-cs"/>
              </a:rPr>
              <a:t>Avg. Delivery Lead Time</a:t>
            </a:r>
          </a:p>
        </c:rich>
      </c:tx>
      <c:layout>
        <c:manualLayout>
          <c:xMode val="edge"/>
          <c:yMode val="edge"/>
          <c:x val="0.1298475787774877"/>
          <c:y val="0"/>
        </c:manualLayout>
      </c:layout>
      <c:overlay val="0"/>
      <c:spPr>
        <a:noFill/>
        <a:ln>
          <a:noFill/>
        </a:ln>
        <a:effectLst/>
      </c:spPr>
      <c:txPr>
        <a:bodyPr rot="0" spcFirstLastPara="1" vertOverflow="ellipsis" vert="horz" wrap="square" anchor="ctr" anchorCtr="1"/>
        <a:lstStyle/>
        <a:p>
          <a:pPr algn="ctr" rtl="0">
            <a:defRPr lang="en-US" sz="1200" b="1" i="0" u="none" strike="noStrike" kern="1200" cap="none" spc="100" baseline="0">
              <a:solidFill>
                <a:sysClr val="window" lastClr="FFFFFF">
                  <a:lumMod val="8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PVT!$Q$3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PVT!$P$4:$P$9</c:f>
              <c:strCache>
                <c:ptCount val="5"/>
                <c:pt idx="0">
                  <c:v>Gamma_Co</c:v>
                </c:pt>
                <c:pt idx="1">
                  <c:v>Alpha_Inc</c:v>
                </c:pt>
                <c:pt idx="2">
                  <c:v>Delta_Logistics</c:v>
                </c:pt>
                <c:pt idx="3">
                  <c:v>Epsilon_Group</c:v>
                </c:pt>
                <c:pt idx="4">
                  <c:v>Beta_Supplies</c:v>
                </c:pt>
              </c:strCache>
            </c:strRef>
          </c:cat>
          <c:val>
            <c:numRef>
              <c:f>PVT!$Q$4:$Q$9</c:f>
              <c:numCache>
                <c:formatCode>0.00</c:formatCode>
                <c:ptCount val="5"/>
                <c:pt idx="0">
                  <c:v>10.03225806451613</c:v>
                </c:pt>
                <c:pt idx="1">
                  <c:v>10.361904761904762</c:v>
                </c:pt>
                <c:pt idx="2">
                  <c:v>10.8</c:v>
                </c:pt>
                <c:pt idx="3">
                  <c:v>10.920863309352518</c:v>
                </c:pt>
                <c:pt idx="4">
                  <c:v>11.303030303030303</c:v>
                </c:pt>
              </c:numCache>
            </c:numRef>
          </c:val>
          <c:extLst>
            <c:ext xmlns:c16="http://schemas.microsoft.com/office/drawing/2014/chart" uri="{C3380CC4-5D6E-409C-BE32-E72D297353CC}">
              <c16:uniqueId val="{00000000-E7BE-4710-9BB8-B17D87B4C473}"/>
            </c:ext>
          </c:extLst>
        </c:ser>
        <c:dLbls>
          <c:showLegendKey val="0"/>
          <c:showVal val="0"/>
          <c:showCatName val="0"/>
          <c:showSerName val="0"/>
          <c:showPercent val="0"/>
          <c:showBubbleSize val="0"/>
        </c:dLbls>
        <c:gapWidth val="182"/>
        <c:overlap val="-50"/>
        <c:axId val="1969526143"/>
        <c:axId val="1969526623"/>
      </c:barChart>
      <c:catAx>
        <c:axId val="196952614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9526623"/>
        <c:crosses val="autoZero"/>
        <c:auto val="1"/>
        <c:lblAlgn val="ctr"/>
        <c:lblOffset val="100"/>
        <c:noMultiLvlLbl val="0"/>
      </c:catAx>
      <c:valAx>
        <c:axId val="196952662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952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[PROCUREMENT PERFORMANCE DASHBOARD.xlsx]PVT!PivotTable11</c:name>
    <c:fmtId val="23"/>
  </c:pivotSource>
  <c:chart>
    <c:title>
      <c:tx>
        <c:rich>
          <a:bodyPr rot="0" spcFirstLastPara="1" vertOverflow="ellipsis" vert="horz" wrap="square" anchor="ctr" anchorCtr="1"/>
          <a:lstStyle/>
          <a:p>
            <a:pPr>
              <a:defRPr lang="en-US" sz="1400" b="1" i="0" u="none" strike="noStrike" kern="1200" cap="none" spc="100" baseline="0">
                <a:solidFill>
                  <a:sysClr val="window" lastClr="FFFFFF">
                    <a:lumMod val="85000"/>
                  </a:sysClr>
                </a:solidFill>
                <a:effectLst>
                  <a:outerShdw blurRad="50800" dist="38100" dir="5400000" algn="t" rotWithShape="0">
                    <a:prstClr val="black">
                      <a:alpha val="40000"/>
                    </a:prstClr>
                  </a:outerShdw>
                </a:effectLst>
                <a:latin typeface="+mn-lt"/>
                <a:ea typeface="+mn-ea"/>
                <a:cs typeface="+mn-cs"/>
              </a:defRPr>
            </a:pPr>
            <a:r>
              <a:rPr lang="en-US" sz="1200" b="1" i="0" u="none" strike="noStrike" kern="1200" cap="none" spc="100" baseline="0">
                <a:solidFill>
                  <a:sysClr val="window" lastClr="FFFFFF">
                    <a:lumMod val="85000"/>
                  </a:sysClr>
                </a:solidFill>
                <a:effectLst>
                  <a:outerShdw blurRad="50800" dist="38100" dir="5400000" algn="t" rotWithShape="0">
                    <a:prstClr val="black">
                      <a:alpha val="40000"/>
                    </a:prstClr>
                  </a:outerShdw>
                </a:effectLst>
                <a:latin typeface="+mn-lt"/>
                <a:ea typeface="+mn-ea"/>
                <a:cs typeface="+mn-cs"/>
              </a:rPr>
              <a:t>Total Saving per Unit by Item Category</a:t>
            </a:r>
          </a:p>
        </c:rich>
      </c:tx>
      <c:layout>
        <c:manualLayout>
          <c:xMode val="edge"/>
          <c:yMode val="edge"/>
          <c:x val="0.19047415134360485"/>
          <c:y val="0"/>
        </c:manualLayout>
      </c:layout>
      <c:overlay val="0"/>
      <c:spPr>
        <a:noFill/>
        <a:ln>
          <a:noFill/>
        </a:ln>
        <a:effectLst/>
      </c:spPr>
      <c:txPr>
        <a:bodyPr rot="0" spcFirstLastPara="1" vertOverflow="ellipsis" vert="horz" wrap="square" anchor="ctr" anchorCtr="1"/>
        <a:lstStyle/>
        <a:p>
          <a:pPr>
            <a:defRPr lang="en-US" sz="1400" b="1" i="0" u="none" strike="noStrike" kern="1200" cap="none" spc="100" baseline="0">
              <a:solidFill>
                <a:sysClr val="window" lastClr="FFFFFF">
                  <a:lumMod val="8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5476851851851853"/>
          <c:w val="1"/>
          <c:h val="0.66649852146394262"/>
        </c:manualLayout>
      </c:layout>
      <c:barChart>
        <c:barDir val="col"/>
        <c:grouping val="clustered"/>
        <c:varyColors val="0"/>
        <c:ser>
          <c:idx val="0"/>
          <c:order val="0"/>
          <c:tx>
            <c:strRef>
              <c:f>PVT!$T$3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PVT!$S$4:$S$9</c:f>
              <c:strCache>
                <c:ptCount val="5"/>
                <c:pt idx="0">
                  <c:v>MRO</c:v>
                </c:pt>
                <c:pt idx="1">
                  <c:v>Office Supplies</c:v>
                </c:pt>
                <c:pt idx="2">
                  <c:v>Packaging</c:v>
                </c:pt>
                <c:pt idx="3">
                  <c:v>Electronics</c:v>
                </c:pt>
                <c:pt idx="4">
                  <c:v>Raw Materials</c:v>
                </c:pt>
              </c:strCache>
            </c:strRef>
          </c:cat>
          <c:val>
            <c:numRef>
              <c:f>PVT!$T$4:$T$9</c:f>
              <c:numCache>
                <c:formatCode>_(* #,##0_);_(* \(#,##0\);_(* "-"??_);_(@_)</c:formatCode>
                <c:ptCount val="5"/>
                <c:pt idx="0">
                  <c:v>880102.81999999983</c:v>
                </c:pt>
                <c:pt idx="1">
                  <c:v>760062.86000000045</c:v>
                </c:pt>
                <c:pt idx="2">
                  <c:v>672313.30000000016</c:v>
                </c:pt>
                <c:pt idx="3">
                  <c:v>671846.75</c:v>
                </c:pt>
                <c:pt idx="4">
                  <c:v>654594.35000000009</c:v>
                </c:pt>
              </c:numCache>
            </c:numRef>
          </c:val>
          <c:extLst>
            <c:ext xmlns:c16="http://schemas.microsoft.com/office/drawing/2014/chart" uri="{C3380CC4-5D6E-409C-BE32-E72D297353CC}">
              <c16:uniqueId val="{00000000-FDB0-4F0E-8E5A-58E0CF99F1D6}"/>
            </c:ext>
          </c:extLst>
        </c:ser>
        <c:dLbls>
          <c:showLegendKey val="0"/>
          <c:showVal val="0"/>
          <c:showCatName val="0"/>
          <c:showSerName val="0"/>
          <c:showPercent val="0"/>
          <c:showBubbleSize val="0"/>
        </c:dLbls>
        <c:gapWidth val="315"/>
        <c:overlap val="-40"/>
        <c:axId val="363932287"/>
        <c:axId val="363921727"/>
      </c:barChart>
      <c:catAx>
        <c:axId val="3639322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63921727"/>
        <c:crosses val="autoZero"/>
        <c:auto val="1"/>
        <c:lblAlgn val="ctr"/>
        <c:lblOffset val="100"/>
        <c:noMultiLvlLbl val="0"/>
      </c:catAx>
      <c:valAx>
        <c:axId val="363921727"/>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0_);_(* \(#,##0\);_(* &quot;-&quot;??_);_(@_)" sourceLinked="1"/>
        <c:majorTickMark val="none"/>
        <c:minorTickMark val="none"/>
        <c:tickLblPos val="nextTo"/>
        <c:crossAx val="36393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[PROCUREMENT PERFORMANCE DASHBOARD.xlsx]PVT!PivotTable12</c:name>
    <c:fmtId val="23"/>
  </c:pivotSource>
  <c:chart>
    <c:title>
      <c:tx>
        <c:rich>
          <a:bodyPr rot="0" spcFirstLastPara="1" vertOverflow="ellipsis" vert="horz" wrap="square" anchor="ctr" anchorCtr="1"/>
          <a:lstStyle/>
          <a:p>
            <a:pPr algn="ctr" rtl="0">
              <a:defRPr lang="en-US" sz="1200" b="1" i="0" u="none" strike="noStrike" kern="1200" cap="none" spc="100" baseline="0">
                <a:solidFill>
                  <a:sysClr val="window" lastClr="FFFFFF">
                    <a:lumMod val="85000"/>
                  </a:sysClr>
                </a:solidFill>
                <a:effectLst>
                  <a:outerShdw blurRad="50800" dist="38100" dir="5400000" algn="t" rotWithShape="0">
                    <a:prstClr val="black">
                      <a:alpha val="40000"/>
                    </a:prstClr>
                  </a:outerShdw>
                </a:effectLst>
                <a:latin typeface="+mn-lt"/>
                <a:ea typeface="+mn-ea"/>
                <a:cs typeface="+mn-cs"/>
              </a:defRPr>
            </a:pPr>
            <a:r>
              <a:rPr lang="en-US" sz="1200" b="1" i="0" u="none" strike="noStrike" kern="1200" cap="none" spc="100" baseline="0">
                <a:solidFill>
                  <a:sysClr val="window" lastClr="FFFFFF">
                    <a:lumMod val="85000"/>
                  </a:sysClr>
                </a:solidFill>
                <a:effectLst>
                  <a:outerShdw blurRad="50800" dist="38100" dir="5400000" algn="t" rotWithShape="0">
                    <a:prstClr val="black">
                      <a:alpha val="40000"/>
                    </a:prstClr>
                  </a:outerShdw>
                </a:effectLst>
                <a:latin typeface="+mn-lt"/>
                <a:ea typeface="+mn-ea"/>
                <a:cs typeface="+mn-cs"/>
              </a:rPr>
              <a:t>Total Cost Savings by Supplier</a:t>
            </a:r>
          </a:p>
        </c:rich>
      </c:tx>
      <c:layout>
        <c:manualLayout>
          <c:xMode val="edge"/>
          <c:yMode val="edge"/>
          <c:x val="0.29311144022315333"/>
          <c:y val="0"/>
        </c:manualLayout>
      </c:layout>
      <c:overlay val="0"/>
      <c:spPr>
        <a:noFill/>
        <a:ln>
          <a:noFill/>
        </a:ln>
        <a:effectLst/>
      </c:spPr>
      <c:txPr>
        <a:bodyPr rot="0" spcFirstLastPara="1" vertOverflow="ellipsis" vert="horz" wrap="square" anchor="ctr" anchorCtr="1"/>
        <a:lstStyle/>
        <a:p>
          <a:pPr algn="ctr" rtl="0">
            <a:defRPr lang="en-US" sz="1200" b="1" i="0" u="none" strike="noStrike" kern="1200" cap="none" spc="100" baseline="0">
              <a:solidFill>
                <a:sysClr val="window" lastClr="FFFFFF">
                  <a:lumMod val="8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w="9525">
              <a:solidFill>
                <a:schemeClr val="accent4">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4">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w="9525">
              <a:solidFill>
                <a:schemeClr val="accent4">
                  <a:tint val="65000"/>
                </a:schemeClr>
              </a:solidFill>
              <a:round/>
            </a:ln>
            <a:effectLst>
              <a:outerShdw blurRad="57150" dist="19050" dir="5400000" algn="ctr" rotWithShape="0">
                <a:srgbClr val="000000">
                  <a:alpha val="63000"/>
                </a:srgbClr>
              </a:outerShdw>
            </a:effectLst>
          </c:spPr>
        </c:marker>
      </c:pivotFmt>
      <c:pivotFmt>
        <c:idx val="10"/>
        <c:spPr>
          <a:ln w="34925" cap="rnd">
            <a:solidFill>
              <a:schemeClr val="accent4">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w="9525">
              <a:solidFill>
                <a:schemeClr val="accent4">
                  <a:tint val="65000"/>
                </a:schemeClr>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1.6226940468891515E-2"/>
          <c:y val="0.10419256803425886"/>
          <c:w val="0.91258916396711676"/>
          <c:h val="0.63101454423460224"/>
        </c:manualLayout>
      </c:layout>
      <c:barChart>
        <c:barDir val="col"/>
        <c:grouping val="clustered"/>
        <c:varyColors val="0"/>
        <c:ser>
          <c:idx val="0"/>
          <c:order val="0"/>
          <c:tx>
            <c:strRef>
              <c:f>PVT!$X$3</c:f>
              <c:strCache>
                <c:ptCount val="1"/>
                <c:pt idx="0">
                  <c:v>Sum of Negotiated_Price</c:v>
                </c:pt>
              </c:strCache>
            </c:strRef>
          </c:tx>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PVT!$W$4:$W$9</c:f>
              <c:strCache>
                <c:ptCount val="5"/>
                <c:pt idx="0">
                  <c:v>Alpha_Inc</c:v>
                </c:pt>
                <c:pt idx="1">
                  <c:v>Beta_Supplies</c:v>
                </c:pt>
                <c:pt idx="2">
                  <c:v>Delta_Logistics</c:v>
                </c:pt>
                <c:pt idx="3">
                  <c:v>Epsilon_Group</c:v>
                </c:pt>
                <c:pt idx="4">
                  <c:v>Gamma_Co</c:v>
                </c:pt>
              </c:strCache>
            </c:strRef>
          </c:cat>
          <c:val>
            <c:numRef>
              <c:f>PVT!$X$4:$X$9</c:f>
              <c:numCache>
                <c:formatCode>0.00</c:formatCode>
                <c:ptCount val="5"/>
                <c:pt idx="0">
                  <c:v>7564.3900000000031</c:v>
                </c:pt>
                <c:pt idx="1">
                  <c:v>8362.8300000000017</c:v>
                </c:pt>
                <c:pt idx="2">
                  <c:v>8874.6100000000042</c:v>
                </c:pt>
                <c:pt idx="3">
                  <c:v>9069.49</c:v>
                </c:pt>
                <c:pt idx="4">
                  <c:v>7823.0600000000013</c:v>
                </c:pt>
              </c:numCache>
            </c:numRef>
          </c:val>
          <c:extLst>
            <c:ext xmlns:c16="http://schemas.microsoft.com/office/drawing/2014/chart" uri="{C3380CC4-5D6E-409C-BE32-E72D297353CC}">
              <c16:uniqueId val="{00000000-CD22-4DE4-89B6-5E684289481D}"/>
            </c:ext>
          </c:extLst>
        </c:ser>
        <c:ser>
          <c:idx val="1"/>
          <c:order val="1"/>
          <c:tx>
            <c:strRef>
              <c:f>PVT!$Y$3</c:f>
              <c:strCache>
                <c:ptCount val="1"/>
                <c:pt idx="0">
                  <c:v>Sum of Unit_Price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PVT!$W$4:$W$9</c:f>
              <c:strCache>
                <c:ptCount val="5"/>
                <c:pt idx="0">
                  <c:v>Alpha_Inc</c:v>
                </c:pt>
                <c:pt idx="1">
                  <c:v>Beta_Supplies</c:v>
                </c:pt>
                <c:pt idx="2">
                  <c:v>Delta_Logistics</c:v>
                </c:pt>
                <c:pt idx="3">
                  <c:v>Epsilon_Group</c:v>
                </c:pt>
                <c:pt idx="4">
                  <c:v>Gamma_Co</c:v>
                </c:pt>
              </c:strCache>
            </c:strRef>
          </c:cat>
          <c:val>
            <c:numRef>
              <c:f>PVT!$Y$4:$Y$9</c:f>
              <c:numCache>
                <c:formatCode>0.00</c:formatCode>
                <c:ptCount val="5"/>
                <c:pt idx="0">
                  <c:v>8232.5000000000036</c:v>
                </c:pt>
                <c:pt idx="1">
                  <c:v>9091.59</c:v>
                </c:pt>
                <c:pt idx="2">
                  <c:v>9616.3599999999969</c:v>
                </c:pt>
                <c:pt idx="3">
                  <c:v>9859.19</c:v>
                </c:pt>
                <c:pt idx="4">
                  <c:v>8486.8900000000012</c:v>
                </c:pt>
              </c:numCache>
            </c:numRef>
          </c:val>
          <c:extLst>
            <c:ext xmlns:c16="http://schemas.microsoft.com/office/drawing/2014/chart" uri="{C3380CC4-5D6E-409C-BE32-E72D297353CC}">
              <c16:uniqueId val="{00000001-CD22-4DE4-89B6-5E684289481D}"/>
            </c:ext>
          </c:extLst>
        </c:ser>
        <c:dLbls>
          <c:showLegendKey val="0"/>
          <c:showVal val="0"/>
          <c:showCatName val="0"/>
          <c:showSerName val="0"/>
          <c:showPercent val="0"/>
          <c:showBubbleSize val="0"/>
        </c:dLbls>
        <c:gapWidth val="219"/>
        <c:axId val="364131119"/>
        <c:axId val="364138319"/>
      </c:barChart>
      <c:lineChart>
        <c:grouping val="standard"/>
        <c:varyColors val="0"/>
        <c:ser>
          <c:idx val="2"/>
          <c:order val="2"/>
          <c:tx>
            <c:strRef>
              <c:f>PVT!$Z$3</c:f>
              <c:strCache>
                <c:ptCount val="1"/>
                <c:pt idx="0">
                  <c:v>Average of Saving Percentage</c:v>
                </c:pt>
              </c:strCache>
            </c:strRef>
          </c:tx>
          <c:spPr>
            <a:ln w="34925" cap="rnd">
              <a:solidFill>
                <a:schemeClr val="accent4">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w="9525">
                <a:solidFill>
                  <a:schemeClr val="accent4">
                    <a:tint val="65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PVT!$W$4:$W$9</c:f>
              <c:strCache>
                <c:ptCount val="5"/>
                <c:pt idx="0">
                  <c:v>Alpha_Inc</c:v>
                </c:pt>
                <c:pt idx="1">
                  <c:v>Beta_Supplies</c:v>
                </c:pt>
                <c:pt idx="2">
                  <c:v>Delta_Logistics</c:v>
                </c:pt>
                <c:pt idx="3">
                  <c:v>Epsilon_Group</c:v>
                </c:pt>
                <c:pt idx="4">
                  <c:v>Gamma_Co</c:v>
                </c:pt>
              </c:strCache>
            </c:strRef>
          </c:cat>
          <c:val>
            <c:numRef>
              <c:f>PVT!$Z$4:$Z$9</c:f>
              <c:numCache>
                <c:formatCode>0%</c:formatCode>
                <c:ptCount val="5"/>
                <c:pt idx="0">
                  <c:v>8.2104590467255753E-2</c:v>
                </c:pt>
                <c:pt idx="1">
                  <c:v>7.8276992247910543E-2</c:v>
                </c:pt>
                <c:pt idx="2">
                  <c:v>7.8119769226173377E-2</c:v>
                </c:pt>
                <c:pt idx="3">
                  <c:v>8.0405205072453925E-2</c:v>
                </c:pt>
                <c:pt idx="4">
                  <c:v>7.9848562374747065E-2</c:v>
                </c:pt>
              </c:numCache>
            </c:numRef>
          </c:val>
          <c:smooth val="0"/>
          <c:extLst>
            <c:ext xmlns:c16="http://schemas.microsoft.com/office/drawing/2014/chart" uri="{C3380CC4-5D6E-409C-BE32-E72D297353CC}">
              <c16:uniqueId val="{00000002-CD22-4DE4-89B6-5E684289481D}"/>
            </c:ext>
          </c:extLst>
        </c:ser>
        <c:dLbls>
          <c:showLegendKey val="0"/>
          <c:showVal val="0"/>
          <c:showCatName val="0"/>
          <c:showSerName val="0"/>
          <c:showPercent val="0"/>
          <c:showBubbleSize val="0"/>
        </c:dLbls>
        <c:marker val="1"/>
        <c:smooth val="0"/>
        <c:axId val="2002714655"/>
        <c:axId val="2002720895"/>
      </c:lineChart>
      <c:catAx>
        <c:axId val="3641311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4138319"/>
        <c:crosses val="autoZero"/>
        <c:auto val="1"/>
        <c:lblAlgn val="ctr"/>
        <c:lblOffset val="100"/>
        <c:noMultiLvlLbl val="0"/>
      </c:catAx>
      <c:valAx>
        <c:axId val="36413831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4131119"/>
        <c:crosses val="autoZero"/>
        <c:crossBetween val="between"/>
      </c:valAx>
      <c:valAx>
        <c:axId val="2002720895"/>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ysClr val="windowText" lastClr="000000"/>
                </a:solidFill>
                <a:latin typeface="+mn-lt"/>
                <a:ea typeface="+mn-ea"/>
                <a:cs typeface="+mn-cs"/>
              </a:defRPr>
            </a:pPr>
            <a:endParaRPr lang="en-US"/>
          </a:p>
        </c:txPr>
        <c:crossAx val="2002714655"/>
        <c:crosses val="max"/>
        <c:crossBetween val="between"/>
      </c:valAx>
      <c:catAx>
        <c:axId val="2002714655"/>
        <c:scaling>
          <c:orientation val="minMax"/>
        </c:scaling>
        <c:delete val="1"/>
        <c:axPos val="b"/>
        <c:numFmt formatCode="General" sourceLinked="1"/>
        <c:majorTickMark val="none"/>
        <c:minorTickMark val="none"/>
        <c:tickLblPos val="nextTo"/>
        <c:crossAx val="2002720895"/>
        <c:crosses val="autoZero"/>
        <c:auto val="1"/>
        <c:lblAlgn val="ctr"/>
        <c:lblOffset val="100"/>
        <c:noMultiLvlLbl val="0"/>
      </c:catAx>
      <c:spPr>
        <a:noFill/>
        <a:ln>
          <a:noFill/>
        </a:ln>
        <a:effectLst/>
      </c:spPr>
    </c:plotArea>
    <c:legend>
      <c:legendPos val="r"/>
      <c:layout>
        <c:manualLayout>
          <c:xMode val="edge"/>
          <c:yMode val="edge"/>
          <c:x val="7.7104156172397645E-2"/>
          <c:y val="0.89062335958005245"/>
          <c:w val="0.84195078519225486"/>
          <c:h val="0.10764216972878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[PROCUREMENT PERFORMANCE DASHBOARD.xlsx]PVT!PivotTable15</c:name>
    <c:fmtId val="14"/>
  </c:pivotSource>
  <c:chart>
    <c:title>
      <c:tx>
        <c:rich>
          <a:bodyPr rot="0" spcFirstLastPara="1" vertOverflow="ellipsis" vert="horz" wrap="square" anchor="ctr" anchorCtr="1"/>
          <a:lstStyle/>
          <a:p>
            <a:pPr algn="ctr" rtl="0">
              <a:defRPr lang="en-US" sz="1200" b="1" i="0" u="none" strike="noStrike" kern="1200" cap="none" spc="100" baseline="0">
                <a:solidFill>
                  <a:sysClr val="window" lastClr="FFFFFF">
                    <a:lumMod val="85000"/>
                  </a:sysClr>
                </a:solidFill>
                <a:effectLst>
                  <a:outerShdw blurRad="50800" dist="38100" dir="5400000" algn="t" rotWithShape="0">
                    <a:prstClr val="black">
                      <a:alpha val="40000"/>
                    </a:prstClr>
                  </a:outerShdw>
                </a:effectLst>
                <a:latin typeface="+mn-lt"/>
                <a:ea typeface="+mn-ea"/>
                <a:cs typeface="+mn-cs"/>
              </a:defRPr>
            </a:pPr>
            <a:r>
              <a:rPr lang="en-US" sz="1200" b="1" i="0" u="none" strike="noStrike" kern="1200" cap="none" spc="100" baseline="0">
                <a:solidFill>
                  <a:sysClr val="window" lastClr="FFFFFF">
                    <a:lumMod val="85000"/>
                  </a:sysClr>
                </a:solidFill>
                <a:effectLst>
                  <a:outerShdw blurRad="50800" dist="38100" dir="5400000" algn="t" rotWithShape="0">
                    <a:prstClr val="black">
                      <a:alpha val="40000"/>
                    </a:prstClr>
                  </a:outerShdw>
                </a:effectLst>
                <a:latin typeface="+mn-lt"/>
                <a:ea typeface="+mn-ea"/>
                <a:cs typeface="+mn-cs"/>
              </a:rPr>
              <a:t>Compliance</a:t>
            </a:r>
          </a:p>
        </c:rich>
      </c:tx>
      <c:layout>
        <c:manualLayout>
          <c:xMode val="edge"/>
          <c:yMode val="edge"/>
          <c:x val="0.3004687482405306"/>
          <c:y val="1.2687198616595854E-2"/>
        </c:manualLayout>
      </c:layout>
      <c:overlay val="0"/>
      <c:spPr>
        <a:noFill/>
        <a:ln>
          <a:noFill/>
        </a:ln>
        <a:effectLst/>
      </c:spPr>
      <c:txPr>
        <a:bodyPr rot="0" spcFirstLastPara="1" vertOverflow="ellipsis" vert="horz" wrap="square" anchor="ctr" anchorCtr="1"/>
        <a:lstStyle/>
        <a:p>
          <a:pPr algn="ctr" rtl="0">
            <a:defRPr lang="en-US" sz="1200" b="1" i="0" u="none" strike="noStrike" kern="1200" cap="none" spc="100" baseline="0">
              <a:solidFill>
                <a:sysClr val="window" lastClr="FFFFFF">
                  <a:lumMod val="8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1936223267890212"/>
          <c:y val="0.17301834877388653"/>
          <c:w val="0.6275721350328537"/>
          <c:h val="0.69569623539416336"/>
        </c:manualLayout>
      </c:layout>
      <c:pieChart>
        <c:varyColors val="1"/>
        <c:ser>
          <c:idx val="0"/>
          <c:order val="0"/>
          <c:tx>
            <c:strRef>
              <c:f>PVT!$B$24</c:f>
              <c:strCache>
                <c:ptCount val="1"/>
                <c:pt idx="0">
                  <c:v>Total</c:v>
                </c:pt>
              </c:strCache>
            </c:strRef>
          </c:tx>
          <c:explosion val="5"/>
          <c:dPt>
            <c:idx val="0"/>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501-4D68-8AC5-456FDDE55353}"/>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501-4D68-8AC5-456FDDE5535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PVT!$A$25:$A$27</c:f>
              <c:strCache>
                <c:ptCount val="2"/>
                <c:pt idx="0">
                  <c:v>No</c:v>
                </c:pt>
                <c:pt idx="1">
                  <c:v>Yes</c:v>
                </c:pt>
              </c:strCache>
            </c:strRef>
          </c:cat>
          <c:val>
            <c:numRef>
              <c:f>PVT!$B$25:$B$27</c:f>
              <c:numCache>
                <c:formatCode>General</c:formatCode>
                <c:ptCount val="2"/>
                <c:pt idx="0">
                  <c:v>137</c:v>
                </c:pt>
                <c:pt idx="1">
                  <c:v>640</c:v>
                </c:pt>
              </c:numCache>
            </c:numRef>
          </c:val>
          <c:extLst>
            <c:ext xmlns:c16="http://schemas.microsoft.com/office/drawing/2014/chart" uri="{C3380CC4-5D6E-409C-BE32-E72D297353CC}">
              <c16:uniqueId val="{00000004-3501-4D68-8AC5-456FDDE5535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35242684484743325"/>
          <c:y val="0.87864606046245486"/>
          <c:w val="0.3064750001719575"/>
          <c:h val="0.115205197183904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[PROCUREMENT PERFORMANCE DASHBOARD.xlsx]PVT!PivotTable4</c:name>
    <c:fmtId val="6"/>
  </c:pivotSource>
  <c:chart>
    <c:title>
      <c:tx>
        <c:rich>
          <a:bodyPr rot="0" spcFirstLastPara="1" vertOverflow="ellipsis" vert="horz" wrap="square" anchor="ctr" anchorCtr="1"/>
          <a:lstStyle/>
          <a:p>
            <a:pPr algn="ctr" rtl="0">
              <a:defRPr lang="en-US" sz="1200" b="1" i="0" u="none" strike="noStrike" kern="1200" cap="none" spc="100" baseline="0">
                <a:solidFill>
                  <a:sysClr val="window" lastClr="FFFFFF">
                    <a:lumMod val="85000"/>
                  </a:sysClr>
                </a:solidFill>
                <a:effectLst>
                  <a:outerShdw blurRad="50800" dist="38100" dir="5400000" algn="t" rotWithShape="0">
                    <a:prstClr val="black">
                      <a:alpha val="40000"/>
                    </a:prstClr>
                  </a:outerShdw>
                </a:effectLst>
                <a:latin typeface="+mn-lt"/>
                <a:ea typeface="+mn-ea"/>
                <a:cs typeface="+mn-cs"/>
              </a:defRPr>
            </a:pPr>
            <a:r>
              <a:rPr lang="en-US" sz="1200" b="1" i="0" u="none" strike="noStrike" kern="1200" cap="none" spc="100" baseline="0">
                <a:solidFill>
                  <a:sysClr val="window" lastClr="FFFFFF">
                    <a:lumMod val="85000"/>
                  </a:sysClr>
                </a:solidFill>
                <a:effectLst>
                  <a:outerShdw blurRad="50800" dist="38100" dir="5400000" algn="t" rotWithShape="0">
                    <a:prstClr val="black">
                      <a:alpha val="40000"/>
                    </a:prstClr>
                  </a:outerShdw>
                </a:effectLst>
                <a:latin typeface="+mn-lt"/>
                <a:ea typeface="+mn-ea"/>
                <a:cs typeface="+mn-cs"/>
              </a:rPr>
              <a:t>Supplier</a:t>
            </a:r>
          </a:p>
        </c:rich>
      </c:tx>
      <c:layout>
        <c:manualLayout>
          <c:xMode val="edge"/>
          <c:yMode val="edge"/>
          <c:x val="0.35850686553161099"/>
          <c:y val="0"/>
        </c:manualLayout>
      </c:layout>
      <c:overlay val="0"/>
      <c:spPr>
        <a:noFill/>
        <a:ln>
          <a:noFill/>
        </a:ln>
        <a:effectLst/>
      </c:spPr>
      <c:txPr>
        <a:bodyPr rot="0" spcFirstLastPara="1" vertOverflow="ellipsis" vert="horz" wrap="square" anchor="ctr" anchorCtr="1"/>
        <a:lstStyle/>
        <a:p>
          <a:pPr algn="ctr" rtl="0">
            <a:defRPr lang="en-US" sz="1200" b="1" i="0" u="none" strike="noStrike" kern="1200" cap="none" spc="100" baseline="0">
              <a:solidFill>
                <a:sysClr val="window" lastClr="FFFFFF">
                  <a:lumMod val="8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18177749941863"/>
          <c:y val="0.15084940902008429"/>
          <c:w val="0.65013990225174567"/>
          <c:h val="0.65336631669376299"/>
        </c:manualLayout>
      </c:layout>
      <c:doughnutChart>
        <c:varyColors val="1"/>
        <c:ser>
          <c:idx val="0"/>
          <c:order val="0"/>
          <c:tx>
            <c:strRef>
              <c:f>PVT!$B$16</c:f>
              <c:strCache>
                <c:ptCount val="1"/>
                <c:pt idx="0">
                  <c:v>Total</c:v>
                </c:pt>
              </c:strCache>
            </c:strRef>
          </c:tx>
          <c:explosion val="1"/>
          <c:dPt>
            <c:idx val="0"/>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F788-4A49-A40A-D37A6BDDFF2B}"/>
              </c:ext>
            </c:extLst>
          </c:dPt>
          <c:dPt>
            <c:idx val="1"/>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788-4A49-A40A-D37A6BDDFF2B}"/>
              </c:ext>
            </c:extLst>
          </c:dPt>
          <c:dPt>
            <c:idx val="2"/>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F788-4A49-A40A-D37A6BDDFF2B}"/>
              </c:ext>
            </c:extLst>
          </c:dPt>
          <c:dPt>
            <c:idx val="3"/>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788-4A49-A40A-D37A6BDDFF2B}"/>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788-4A49-A40A-D37A6BDDFF2B}"/>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788-4A49-A40A-D37A6BDDFF2B}"/>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788-4A49-A40A-D37A6BDDFF2B}"/>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788-4A49-A40A-D37A6BDDFF2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PVT!$A$17:$A$21</c:f>
              <c:strCache>
                <c:ptCount val="4"/>
                <c:pt idx="0">
                  <c:v>Cancelled</c:v>
                </c:pt>
                <c:pt idx="1">
                  <c:v>Delivered</c:v>
                </c:pt>
                <c:pt idx="2">
                  <c:v>Partially Delivered</c:v>
                </c:pt>
                <c:pt idx="3">
                  <c:v>Pending</c:v>
                </c:pt>
              </c:strCache>
            </c:strRef>
          </c:cat>
          <c:val>
            <c:numRef>
              <c:f>PVT!$B$17:$B$21</c:f>
              <c:numCache>
                <c:formatCode>General</c:formatCode>
                <c:ptCount val="4"/>
                <c:pt idx="0">
                  <c:v>63</c:v>
                </c:pt>
                <c:pt idx="1">
                  <c:v>560</c:v>
                </c:pt>
                <c:pt idx="2">
                  <c:v>73</c:v>
                </c:pt>
                <c:pt idx="3">
                  <c:v>81</c:v>
                </c:pt>
              </c:numCache>
            </c:numRef>
          </c:val>
          <c:extLst>
            <c:ext xmlns:c16="http://schemas.microsoft.com/office/drawing/2014/chart" uri="{C3380CC4-5D6E-409C-BE32-E72D297353CC}">
              <c16:uniqueId val="{0000000B-F788-4A49-A40A-D37A6BDDFF2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
          <c:y val="0.65649876009551777"/>
          <c:w val="0.52600302308354518"/>
          <c:h val="0.342776427025829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[PROCUREMENT PERFORMANCE DASHBOARD.xlsx]PVT!PivotTable13</c:name>
    <c:fmtId val="28"/>
  </c:pivotSource>
  <c:chart>
    <c:title>
      <c:tx>
        <c:rich>
          <a:bodyPr rot="0" spcFirstLastPara="1" vertOverflow="ellipsis" vert="horz" wrap="square" anchor="ctr" anchorCtr="1"/>
          <a:lstStyle/>
          <a:p>
            <a:pPr algn="ctr" rtl="0">
              <a:defRPr lang="en-US" sz="1200" b="1" i="0" u="none" strike="noStrike" kern="1200" cap="none" spc="100" baseline="0">
                <a:solidFill>
                  <a:sysClr val="window" lastClr="FFFFFF">
                    <a:lumMod val="85000"/>
                  </a:sysClr>
                </a:solidFill>
                <a:effectLst>
                  <a:outerShdw blurRad="50800" dist="38100" dir="5400000" algn="t" rotWithShape="0">
                    <a:prstClr val="black">
                      <a:alpha val="40000"/>
                    </a:prstClr>
                  </a:outerShdw>
                </a:effectLst>
                <a:latin typeface="+mn-lt"/>
                <a:ea typeface="+mn-ea"/>
                <a:cs typeface="+mn-cs"/>
              </a:defRPr>
            </a:pPr>
            <a:r>
              <a:rPr lang="en-US" sz="1200" b="1" i="0" u="none" strike="noStrike" kern="1200" cap="none" spc="100" baseline="0">
                <a:solidFill>
                  <a:sysClr val="window" lastClr="FFFFFF">
                    <a:lumMod val="85000"/>
                  </a:sysClr>
                </a:solidFill>
                <a:effectLst>
                  <a:outerShdw blurRad="50800" dist="38100" dir="5400000" algn="t" rotWithShape="0">
                    <a:prstClr val="black">
                      <a:alpha val="40000"/>
                    </a:prstClr>
                  </a:outerShdw>
                </a:effectLst>
                <a:latin typeface="+mn-lt"/>
                <a:ea typeface="+mn-ea"/>
                <a:cs typeface="+mn-cs"/>
              </a:rPr>
              <a:t>Total Cost Saving</a:t>
            </a:r>
          </a:p>
        </c:rich>
      </c:tx>
      <c:layout>
        <c:manualLayout>
          <c:xMode val="edge"/>
          <c:yMode val="edge"/>
          <c:x val="0.33059250394736134"/>
          <c:y val="0"/>
        </c:manualLayout>
      </c:layout>
      <c:overlay val="0"/>
      <c:spPr>
        <a:noFill/>
        <a:ln>
          <a:noFill/>
        </a:ln>
        <a:effectLst/>
      </c:spPr>
      <c:txPr>
        <a:bodyPr rot="0" spcFirstLastPara="1" vertOverflow="ellipsis" vert="horz" wrap="square" anchor="ctr" anchorCtr="1"/>
        <a:lstStyle/>
        <a:p>
          <a:pPr algn="ctr" rtl="0">
            <a:defRPr lang="en-US" sz="1200" b="1" i="0" u="none" strike="noStrike" kern="1200" cap="none" spc="100" baseline="0">
              <a:solidFill>
                <a:sysClr val="window" lastClr="FFFFFF">
                  <a:lumMod val="8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80043186059678"/>
          <c:y val="0.2048406862745098"/>
          <c:w val="0.81219956813940331"/>
          <c:h val="0.43632227497298132"/>
        </c:manualLayout>
      </c:layout>
      <c:lineChart>
        <c:grouping val="standard"/>
        <c:varyColors val="0"/>
        <c:ser>
          <c:idx val="0"/>
          <c:order val="0"/>
          <c:tx>
            <c:strRef>
              <c:f>PVT!$AE$3</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PVT!$AD$4:$AD$9</c:f>
              <c:strCache>
                <c:ptCount val="5"/>
                <c:pt idx="0">
                  <c:v>Alpha_Inc</c:v>
                </c:pt>
                <c:pt idx="1">
                  <c:v>Beta_Supplies</c:v>
                </c:pt>
                <c:pt idx="2">
                  <c:v>Delta_Logistics</c:v>
                </c:pt>
                <c:pt idx="3">
                  <c:v>Epsilon_Group</c:v>
                </c:pt>
                <c:pt idx="4">
                  <c:v>Gamma_Co</c:v>
                </c:pt>
              </c:strCache>
            </c:strRef>
          </c:cat>
          <c:val>
            <c:numRef>
              <c:f>PVT!$AE$4:$AE$9</c:f>
              <c:numCache>
                <c:formatCode>0.00</c:formatCode>
                <c:ptCount val="5"/>
                <c:pt idx="0">
                  <c:v>688920.48999999987</c:v>
                </c:pt>
                <c:pt idx="1">
                  <c:v>889940.89000000036</c:v>
                </c:pt>
                <c:pt idx="2">
                  <c:v>781976.49</c:v>
                </c:pt>
                <c:pt idx="3">
                  <c:v>844980.17999999993</c:v>
                </c:pt>
                <c:pt idx="4">
                  <c:v>725308.42000000062</c:v>
                </c:pt>
              </c:numCache>
            </c:numRef>
          </c:val>
          <c:smooth val="0"/>
          <c:extLst>
            <c:ext xmlns:c16="http://schemas.microsoft.com/office/drawing/2014/chart" uri="{C3380CC4-5D6E-409C-BE32-E72D297353CC}">
              <c16:uniqueId val="{00000000-9BD2-4E8A-8601-9B67B961F5B9}"/>
            </c:ext>
          </c:extLst>
        </c:ser>
        <c:dLbls>
          <c:showLegendKey val="0"/>
          <c:showVal val="0"/>
          <c:showCatName val="0"/>
          <c:showSerName val="0"/>
          <c:showPercent val="0"/>
          <c:showBubbleSize val="0"/>
        </c:dLbls>
        <c:marker val="1"/>
        <c:smooth val="0"/>
        <c:axId val="377360879"/>
        <c:axId val="377367599"/>
      </c:lineChart>
      <c:catAx>
        <c:axId val="3773608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7367599"/>
        <c:crosses val="autoZero"/>
        <c:auto val="1"/>
        <c:lblAlgn val="ctr"/>
        <c:lblOffset val="100"/>
        <c:noMultiLvlLbl val="0"/>
      </c:catAx>
      <c:valAx>
        <c:axId val="3773675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7360879"/>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PERFORMANCE DASHBOARD.xlsx]PVT!PivotTable4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PVT!$B$16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EA-46FF-82FA-5338944C28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EA-46FF-82FA-5338944C28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EA-46FF-82FA-5338944C28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7EA-46FF-82FA-5338944C2886}"/>
              </c:ext>
            </c:extLst>
          </c:dPt>
          <c:cat>
            <c:strRef>
              <c:f>PVT!$A$17:$A$21</c:f>
              <c:strCache>
                <c:ptCount val="4"/>
                <c:pt idx="0">
                  <c:v>Cancelled</c:v>
                </c:pt>
                <c:pt idx="1">
                  <c:v>Delivered</c:v>
                </c:pt>
                <c:pt idx="2">
                  <c:v>Partially Delivered</c:v>
                </c:pt>
                <c:pt idx="3">
                  <c:v>Pending</c:v>
                </c:pt>
              </c:strCache>
            </c:strRef>
          </c:cat>
          <c:val>
            <c:numRef>
              <c:f>PVT!$B$17:$B$21</c:f>
              <c:numCache>
                <c:formatCode>General</c:formatCode>
                <c:ptCount val="4"/>
                <c:pt idx="0">
                  <c:v>63</c:v>
                </c:pt>
                <c:pt idx="1">
                  <c:v>560</c:v>
                </c:pt>
                <c:pt idx="2">
                  <c:v>73</c:v>
                </c:pt>
                <c:pt idx="3">
                  <c:v>81</c:v>
                </c:pt>
              </c:numCache>
            </c:numRef>
          </c:val>
          <c:extLst>
            <c:ext xmlns:c16="http://schemas.microsoft.com/office/drawing/2014/chart" uri="{C3380CC4-5D6E-409C-BE32-E72D297353CC}">
              <c16:uniqueId val="{00000002-AB85-455A-8B2A-8C1CCA091FC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PERFORMANCE DASHBOARD.xlsx]PVT!PivotTable3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 Category by Supplier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PVT!$H$3:$H$4</c:f>
              <c:strCache>
                <c:ptCount val="1"/>
                <c:pt idx="0">
                  <c:v>Electronics</c:v>
                </c:pt>
              </c:strCache>
            </c:strRef>
          </c:tx>
          <c:spPr>
            <a:solidFill>
              <a:schemeClr val="accent1"/>
            </a:solidFill>
            <a:ln>
              <a:noFill/>
            </a:ln>
            <a:effectLst/>
          </c:spPr>
          <c:invertIfNegative val="0"/>
          <c:cat>
            <c:strRef>
              <c:f>PVT!$G$5:$G$10</c:f>
              <c:strCache>
                <c:ptCount val="5"/>
                <c:pt idx="0">
                  <c:v>Alpha_Inc</c:v>
                </c:pt>
                <c:pt idx="1">
                  <c:v>Beta_Supplies</c:v>
                </c:pt>
                <c:pt idx="2">
                  <c:v>Delta_Logistics</c:v>
                </c:pt>
                <c:pt idx="3">
                  <c:v>Epsilon_Group</c:v>
                </c:pt>
                <c:pt idx="4">
                  <c:v>Gamma_Co</c:v>
                </c:pt>
              </c:strCache>
            </c:strRef>
          </c:cat>
          <c:val>
            <c:numRef>
              <c:f>PVT!$H$5:$H$10</c:f>
              <c:numCache>
                <c:formatCode>General</c:formatCode>
                <c:ptCount val="5"/>
                <c:pt idx="0">
                  <c:v>22</c:v>
                </c:pt>
                <c:pt idx="1">
                  <c:v>32</c:v>
                </c:pt>
                <c:pt idx="2">
                  <c:v>33</c:v>
                </c:pt>
                <c:pt idx="3">
                  <c:v>36</c:v>
                </c:pt>
                <c:pt idx="4">
                  <c:v>29</c:v>
                </c:pt>
              </c:numCache>
            </c:numRef>
          </c:val>
          <c:extLst>
            <c:ext xmlns:c16="http://schemas.microsoft.com/office/drawing/2014/chart" uri="{C3380CC4-5D6E-409C-BE32-E72D297353CC}">
              <c16:uniqueId val="{00000000-AA1E-481A-9808-6399826D53DF}"/>
            </c:ext>
          </c:extLst>
        </c:ser>
        <c:ser>
          <c:idx val="1"/>
          <c:order val="1"/>
          <c:tx>
            <c:strRef>
              <c:f>PVT!$I$3:$I$4</c:f>
              <c:strCache>
                <c:ptCount val="1"/>
                <c:pt idx="0">
                  <c:v>MRO</c:v>
                </c:pt>
              </c:strCache>
            </c:strRef>
          </c:tx>
          <c:spPr>
            <a:solidFill>
              <a:schemeClr val="accent2"/>
            </a:solidFill>
            <a:ln>
              <a:noFill/>
            </a:ln>
            <a:effectLst/>
          </c:spPr>
          <c:invertIfNegative val="0"/>
          <c:cat>
            <c:strRef>
              <c:f>PVT!$G$5:$G$10</c:f>
              <c:strCache>
                <c:ptCount val="5"/>
                <c:pt idx="0">
                  <c:v>Alpha_Inc</c:v>
                </c:pt>
                <c:pt idx="1">
                  <c:v>Beta_Supplies</c:v>
                </c:pt>
                <c:pt idx="2">
                  <c:v>Delta_Logistics</c:v>
                </c:pt>
                <c:pt idx="3">
                  <c:v>Epsilon_Group</c:v>
                </c:pt>
                <c:pt idx="4">
                  <c:v>Gamma_Co</c:v>
                </c:pt>
              </c:strCache>
            </c:strRef>
          </c:cat>
          <c:val>
            <c:numRef>
              <c:f>PVT!$I$5:$I$10</c:f>
              <c:numCache>
                <c:formatCode>General</c:formatCode>
                <c:ptCount val="5"/>
                <c:pt idx="0">
                  <c:v>35</c:v>
                </c:pt>
                <c:pt idx="1">
                  <c:v>26</c:v>
                </c:pt>
                <c:pt idx="2">
                  <c:v>34</c:v>
                </c:pt>
                <c:pt idx="3">
                  <c:v>39</c:v>
                </c:pt>
                <c:pt idx="4">
                  <c:v>30</c:v>
                </c:pt>
              </c:numCache>
            </c:numRef>
          </c:val>
          <c:extLst>
            <c:ext xmlns:c16="http://schemas.microsoft.com/office/drawing/2014/chart" uri="{C3380CC4-5D6E-409C-BE32-E72D297353CC}">
              <c16:uniqueId val="{00000004-9989-4E2B-AAC1-1B4B78CDDDDC}"/>
            </c:ext>
          </c:extLst>
        </c:ser>
        <c:ser>
          <c:idx val="2"/>
          <c:order val="2"/>
          <c:tx>
            <c:strRef>
              <c:f>PVT!$J$3:$J$4</c:f>
              <c:strCache>
                <c:ptCount val="1"/>
                <c:pt idx="0">
                  <c:v>Office Supplies</c:v>
                </c:pt>
              </c:strCache>
            </c:strRef>
          </c:tx>
          <c:spPr>
            <a:solidFill>
              <a:schemeClr val="accent3"/>
            </a:solidFill>
            <a:ln>
              <a:noFill/>
            </a:ln>
            <a:effectLst/>
          </c:spPr>
          <c:invertIfNegative val="0"/>
          <c:cat>
            <c:strRef>
              <c:f>PVT!$G$5:$G$10</c:f>
              <c:strCache>
                <c:ptCount val="5"/>
                <c:pt idx="0">
                  <c:v>Alpha_Inc</c:v>
                </c:pt>
                <c:pt idx="1">
                  <c:v>Beta_Supplies</c:v>
                </c:pt>
                <c:pt idx="2">
                  <c:v>Delta_Logistics</c:v>
                </c:pt>
                <c:pt idx="3">
                  <c:v>Epsilon_Group</c:v>
                </c:pt>
                <c:pt idx="4">
                  <c:v>Gamma_Co</c:v>
                </c:pt>
              </c:strCache>
            </c:strRef>
          </c:cat>
          <c:val>
            <c:numRef>
              <c:f>PVT!$J$5:$J$10</c:f>
              <c:numCache>
                <c:formatCode>General</c:formatCode>
                <c:ptCount val="5"/>
                <c:pt idx="0">
                  <c:v>39</c:v>
                </c:pt>
                <c:pt idx="1">
                  <c:v>41</c:v>
                </c:pt>
                <c:pt idx="2">
                  <c:v>37</c:v>
                </c:pt>
                <c:pt idx="3">
                  <c:v>34</c:v>
                </c:pt>
                <c:pt idx="4">
                  <c:v>23</c:v>
                </c:pt>
              </c:numCache>
            </c:numRef>
          </c:val>
          <c:extLst>
            <c:ext xmlns:c16="http://schemas.microsoft.com/office/drawing/2014/chart" uri="{C3380CC4-5D6E-409C-BE32-E72D297353CC}">
              <c16:uniqueId val="{00000005-9989-4E2B-AAC1-1B4B78CDDDDC}"/>
            </c:ext>
          </c:extLst>
        </c:ser>
        <c:ser>
          <c:idx val="3"/>
          <c:order val="3"/>
          <c:tx>
            <c:strRef>
              <c:f>PVT!$K$3:$K$4</c:f>
              <c:strCache>
                <c:ptCount val="1"/>
                <c:pt idx="0">
                  <c:v>Packaging</c:v>
                </c:pt>
              </c:strCache>
            </c:strRef>
          </c:tx>
          <c:spPr>
            <a:solidFill>
              <a:schemeClr val="accent4"/>
            </a:solidFill>
            <a:ln>
              <a:noFill/>
            </a:ln>
            <a:effectLst/>
          </c:spPr>
          <c:invertIfNegative val="0"/>
          <c:cat>
            <c:strRef>
              <c:f>PVT!$G$5:$G$10</c:f>
              <c:strCache>
                <c:ptCount val="5"/>
                <c:pt idx="0">
                  <c:v>Alpha_Inc</c:v>
                </c:pt>
                <c:pt idx="1">
                  <c:v>Beta_Supplies</c:v>
                </c:pt>
                <c:pt idx="2">
                  <c:v>Delta_Logistics</c:v>
                </c:pt>
                <c:pt idx="3">
                  <c:v>Epsilon_Group</c:v>
                </c:pt>
                <c:pt idx="4">
                  <c:v>Gamma_Co</c:v>
                </c:pt>
              </c:strCache>
            </c:strRef>
          </c:cat>
          <c:val>
            <c:numRef>
              <c:f>PVT!$K$5:$K$10</c:f>
              <c:numCache>
                <c:formatCode>General</c:formatCode>
                <c:ptCount val="5"/>
                <c:pt idx="0">
                  <c:v>27</c:v>
                </c:pt>
                <c:pt idx="1">
                  <c:v>30</c:v>
                </c:pt>
                <c:pt idx="2">
                  <c:v>29</c:v>
                </c:pt>
                <c:pt idx="3">
                  <c:v>34</c:v>
                </c:pt>
                <c:pt idx="4">
                  <c:v>28</c:v>
                </c:pt>
              </c:numCache>
            </c:numRef>
          </c:val>
          <c:extLst>
            <c:ext xmlns:c16="http://schemas.microsoft.com/office/drawing/2014/chart" uri="{C3380CC4-5D6E-409C-BE32-E72D297353CC}">
              <c16:uniqueId val="{00000006-9989-4E2B-AAC1-1B4B78CDDDDC}"/>
            </c:ext>
          </c:extLst>
        </c:ser>
        <c:ser>
          <c:idx val="4"/>
          <c:order val="4"/>
          <c:tx>
            <c:strRef>
              <c:f>PVT!$L$3:$L$4</c:f>
              <c:strCache>
                <c:ptCount val="1"/>
                <c:pt idx="0">
                  <c:v>Raw Materials</c:v>
                </c:pt>
              </c:strCache>
            </c:strRef>
          </c:tx>
          <c:spPr>
            <a:solidFill>
              <a:schemeClr val="accent5"/>
            </a:solidFill>
            <a:ln>
              <a:noFill/>
            </a:ln>
            <a:effectLst/>
          </c:spPr>
          <c:invertIfNegative val="0"/>
          <c:cat>
            <c:strRef>
              <c:f>PVT!$G$5:$G$10</c:f>
              <c:strCache>
                <c:ptCount val="5"/>
                <c:pt idx="0">
                  <c:v>Alpha_Inc</c:v>
                </c:pt>
                <c:pt idx="1">
                  <c:v>Beta_Supplies</c:v>
                </c:pt>
                <c:pt idx="2">
                  <c:v>Delta_Logistics</c:v>
                </c:pt>
                <c:pt idx="3">
                  <c:v>Epsilon_Group</c:v>
                </c:pt>
                <c:pt idx="4">
                  <c:v>Gamma_Co</c:v>
                </c:pt>
              </c:strCache>
            </c:strRef>
          </c:cat>
          <c:val>
            <c:numRef>
              <c:f>PVT!$L$5:$L$10</c:f>
              <c:numCache>
                <c:formatCode>General</c:formatCode>
                <c:ptCount val="5"/>
                <c:pt idx="0">
                  <c:v>18</c:v>
                </c:pt>
                <c:pt idx="1">
                  <c:v>27</c:v>
                </c:pt>
                <c:pt idx="2">
                  <c:v>38</c:v>
                </c:pt>
                <c:pt idx="3">
                  <c:v>23</c:v>
                </c:pt>
                <c:pt idx="4">
                  <c:v>33</c:v>
                </c:pt>
              </c:numCache>
            </c:numRef>
          </c:val>
          <c:extLst>
            <c:ext xmlns:c16="http://schemas.microsoft.com/office/drawing/2014/chart" uri="{C3380CC4-5D6E-409C-BE32-E72D297353CC}">
              <c16:uniqueId val="{00000007-9989-4E2B-AAC1-1B4B78CDDDDC}"/>
            </c:ext>
          </c:extLst>
        </c:ser>
        <c:dLbls>
          <c:showLegendKey val="0"/>
          <c:showVal val="0"/>
          <c:showCatName val="0"/>
          <c:showSerName val="0"/>
          <c:showPercent val="0"/>
          <c:showBubbleSize val="0"/>
        </c:dLbls>
        <c:gapWidth val="150"/>
        <c:overlap val="100"/>
        <c:axId val="1979642479"/>
        <c:axId val="1979645359"/>
      </c:barChart>
      <c:catAx>
        <c:axId val="197964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645359"/>
        <c:crosses val="autoZero"/>
        <c:auto val="1"/>
        <c:lblAlgn val="ctr"/>
        <c:lblOffset val="100"/>
        <c:noMultiLvlLbl val="0"/>
      </c:catAx>
      <c:valAx>
        <c:axId val="197964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64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PERFORMANCE DASHBOARD.xlsx]PVT!PivotTable8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PVT!$M$18</c:f>
              <c:strCache>
                <c:ptCount val="1"/>
                <c:pt idx="0">
                  <c:v>Total</c:v>
                </c:pt>
              </c:strCache>
            </c:strRef>
          </c:tx>
          <c:spPr>
            <a:solidFill>
              <a:schemeClr val="accent1"/>
            </a:solidFill>
            <a:ln>
              <a:noFill/>
            </a:ln>
            <a:effectLst/>
          </c:spPr>
          <c:invertIfNegative val="0"/>
          <c:cat>
            <c:strRef>
              <c:f>PVT!$L$19:$L$23</c:f>
              <c:strCache>
                <c:ptCount val="4"/>
                <c:pt idx="0">
                  <c:v>Cancelled</c:v>
                </c:pt>
                <c:pt idx="1">
                  <c:v>Partially Delivered</c:v>
                </c:pt>
                <c:pt idx="2">
                  <c:v>Pending</c:v>
                </c:pt>
                <c:pt idx="3">
                  <c:v>Delivered</c:v>
                </c:pt>
              </c:strCache>
            </c:strRef>
          </c:cat>
          <c:val>
            <c:numRef>
              <c:f>PVT!$M$19:$M$23</c:f>
              <c:numCache>
                <c:formatCode>General</c:formatCode>
                <c:ptCount val="4"/>
                <c:pt idx="0">
                  <c:v>65436</c:v>
                </c:pt>
                <c:pt idx="1">
                  <c:v>78617</c:v>
                </c:pt>
                <c:pt idx="2">
                  <c:v>92420</c:v>
                </c:pt>
                <c:pt idx="3">
                  <c:v>614078</c:v>
                </c:pt>
              </c:numCache>
            </c:numRef>
          </c:val>
          <c:extLst>
            <c:ext xmlns:c16="http://schemas.microsoft.com/office/drawing/2014/chart" uri="{C3380CC4-5D6E-409C-BE32-E72D297353CC}">
              <c16:uniqueId val="{00000000-2967-49F2-81CA-D2EFFCBC0882}"/>
            </c:ext>
          </c:extLst>
        </c:ser>
        <c:dLbls>
          <c:showLegendKey val="0"/>
          <c:showVal val="0"/>
          <c:showCatName val="0"/>
          <c:showSerName val="0"/>
          <c:showPercent val="0"/>
          <c:showBubbleSize val="0"/>
        </c:dLbls>
        <c:gapWidth val="150"/>
        <c:overlap val="100"/>
        <c:axId val="1960778911"/>
        <c:axId val="1960776991"/>
      </c:barChart>
      <c:catAx>
        <c:axId val="1960778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76991"/>
        <c:crosses val="autoZero"/>
        <c:auto val="1"/>
        <c:lblAlgn val="ctr"/>
        <c:lblOffset val="100"/>
        <c:noMultiLvlLbl val="0"/>
      </c:catAx>
      <c:valAx>
        <c:axId val="1960776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7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PERFORMANCE DASHBOARD.xlsx]PVT!PivotTable10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Delivery Lead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PVT!$Q$3</c:f>
              <c:strCache>
                <c:ptCount val="1"/>
                <c:pt idx="0">
                  <c:v>Total</c:v>
                </c:pt>
              </c:strCache>
            </c:strRef>
          </c:tx>
          <c:spPr>
            <a:solidFill>
              <a:schemeClr val="accent1"/>
            </a:solidFill>
            <a:ln>
              <a:noFill/>
            </a:ln>
            <a:effectLst/>
          </c:spPr>
          <c:invertIfNegative val="0"/>
          <c:cat>
            <c:strRef>
              <c:f>PVT!$P$4:$P$9</c:f>
              <c:strCache>
                <c:ptCount val="5"/>
                <c:pt idx="0">
                  <c:v>Gamma_Co</c:v>
                </c:pt>
                <c:pt idx="1">
                  <c:v>Alpha_Inc</c:v>
                </c:pt>
                <c:pt idx="2">
                  <c:v>Delta_Logistics</c:v>
                </c:pt>
                <c:pt idx="3">
                  <c:v>Epsilon_Group</c:v>
                </c:pt>
                <c:pt idx="4">
                  <c:v>Beta_Supplies</c:v>
                </c:pt>
              </c:strCache>
            </c:strRef>
          </c:cat>
          <c:val>
            <c:numRef>
              <c:f>PVT!$Q$4:$Q$9</c:f>
              <c:numCache>
                <c:formatCode>0.00</c:formatCode>
                <c:ptCount val="5"/>
                <c:pt idx="0">
                  <c:v>10.03225806451613</c:v>
                </c:pt>
                <c:pt idx="1">
                  <c:v>10.361904761904762</c:v>
                </c:pt>
                <c:pt idx="2">
                  <c:v>10.8</c:v>
                </c:pt>
                <c:pt idx="3">
                  <c:v>10.920863309352518</c:v>
                </c:pt>
                <c:pt idx="4">
                  <c:v>11.303030303030303</c:v>
                </c:pt>
              </c:numCache>
            </c:numRef>
          </c:val>
          <c:extLst>
            <c:ext xmlns:c16="http://schemas.microsoft.com/office/drawing/2014/chart" uri="{C3380CC4-5D6E-409C-BE32-E72D297353CC}">
              <c16:uniqueId val="{00000000-8BAB-478B-B69D-BCE1539243FD}"/>
            </c:ext>
          </c:extLst>
        </c:ser>
        <c:dLbls>
          <c:showLegendKey val="0"/>
          <c:showVal val="0"/>
          <c:showCatName val="0"/>
          <c:showSerName val="0"/>
          <c:showPercent val="0"/>
          <c:showBubbleSize val="0"/>
        </c:dLbls>
        <c:gapWidth val="182"/>
        <c:axId val="1969526143"/>
        <c:axId val="1969526623"/>
      </c:barChart>
      <c:catAx>
        <c:axId val="196952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526623"/>
        <c:crosses val="autoZero"/>
        <c:auto val="1"/>
        <c:lblAlgn val="ctr"/>
        <c:lblOffset val="100"/>
        <c:noMultiLvlLbl val="0"/>
      </c:catAx>
      <c:valAx>
        <c:axId val="196952662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52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PERFORMANCE DASHBOARD.xlsx]PVT!PivotTable11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Saving Per unit</a:t>
            </a:r>
          </a:p>
        </c:rich>
      </c:tx>
      <c:layout>
        <c:manualLayout>
          <c:xMode val="edge"/>
          <c:yMode val="edge"/>
          <c:x val="0.2627567804024497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PVT!$T$3</c:f>
              <c:strCache>
                <c:ptCount val="1"/>
                <c:pt idx="0">
                  <c:v>Total</c:v>
                </c:pt>
              </c:strCache>
            </c:strRef>
          </c:tx>
          <c:spPr>
            <a:solidFill>
              <a:schemeClr val="accent1"/>
            </a:solidFill>
            <a:ln>
              <a:noFill/>
            </a:ln>
            <a:effectLst/>
          </c:spPr>
          <c:invertIfNegative val="0"/>
          <c:cat>
            <c:strRef>
              <c:f>PVT!$S$4:$S$9</c:f>
              <c:strCache>
                <c:ptCount val="5"/>
                <c:pt idx="0">
                  <c:v>MRO</c:v>
                </c:pt>
                <c:pt idx="1">
                  <c:v>Office Supplies</c:v>
                </c:pt>
                <c:pt idx="2">
                  <c:v>Packaging</c:v>
                </c:pt>
                <c:pt idx="3">
                  <c:v>Electronics</c:v>
                </c:pt>
                <c:pt idx="4">
                  <c:v>Raw Materials</c:v>
                </c:pt>
              </c:strCache>
            </c:strRef>
          </c:cat>
          <c:val>
            <c:numRef>
              <c:f>PVT!$T$4:$T$9</c:f>
              <c:numCache>
                <c:formatCode>_(* #,##0_);_(* \(#,##0\);_(* "-"??_);_(@_)</c:formatCode>
                <c:ptCount val="5"/>
                <c:pt idx="0">
                  <c:v>880102.81999999983</c:v>
                </c:pt>
                <c:pt idx="1">
                  <c:v>760062.86000000045</c:v>
                </c:pt>
                <c:pt idx="2">
                  <c:v>672313.30000000016</c:v>
                </c:pt>
                <c:pt idx="3">
                  <c:v>671846.75</c:v>
                </c:pt>
                <c:pt idx="4">
                  <c:v>654594.35000000009</c:v>
                </c:pt>
              </c:numCache>
            </c:numRef>
          </c:val>
          <c:extLst>
            <c:ext xmlns:c16="http://schemas.microsoft.com/office/drawing/2014/chart" uri="{C3380CC4-5D6E-409C-BE32-E72D297353CC}">
              <c16:uniqueId val="{00000000-CC20-4946-8CDF-A071276A9B1A}"/>
            </c:ext>
          </c:extLst>
        </c:ser>
        <c:dLbls>
          <c:showLegendKey val="0"/>
          <c:showVal val="0"/>
          <c:showCatName val="0"/>
          <c:showSerName val="0"/>
          <c:showPercent val="0"/>
          <c:showBubbleSize val="0"/>
        </c:dLbls>
        <c:gapWidth val="219"/>
        <c:overlap val="-27"/>
        <c:axId val="363932287"/>
        <c:axId val="363921727"/>
      </c:barChart>
      <c:catAx>
        <c:axId val="36393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921727"/>
        <c:crosses val="autoZero"/>
        <c:auto val="1"/>
        <c:lblAlgn val="ctr"/>
        <c:lblOffset val="100"/>
        <c:noMultiLvlLbl val="0"/>
      </c:catAx>
      <c:valAx>
        <c:axId val="363921727"/>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36393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PERFORMANCE DASHBOARD.xlsx]PVT!PivotTable12</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PVT!$X$3</c:f>
              <c:strCache>
                <c:ptCount val="1"/>
                <c:pt idx="0">
                  <c:v>Sum of Negotiated_Price</c:v>
                </c:pt>
              </c:strCache>
            </c:strRef>
          </c:tx>
          <c:spPr>
            <a:solidFill>
              <a:schemeClr val="accent1"/>
            </a:solidFill>
            <a:ln>
              <a:noFill/>
            </a:ln>
            <a:effectLst/>
          </c:spPr>
          <c:invertIfNegative val="0"/>
          <c:cat>
            <c:strRef>
              <c:f>PVT!$W$4:$W$9</c:f>
              <c:strCache>
                <c:ptCount val="5"/>
                <c:pt idx="0">
                  <c:v>Alpha_Inc</c:v>
                </c:pt>
                <c:pt idx="1">
                  <c:v>Beta_Supplies</c:v>
                </c:pt>
                <c:pt idx="2">
                  <c:v>Delta_Logistics</c:v>
                </c:pt>
                <c:pt idx="3">
                  <c:v>Epsilon_Group</c:v>
                </c:pt>
                <c:pt idx="4">
                  <c:v>Gamma_Co</c:v>
                </c:pt>
              </c:strCache>
            </c:strRef>
          </c:cat>
          <c:val>
            <c:numRef>
              <c:f>PVT!$X$4:$X$9</c:f>
              <c:numCache>
                <c:formatCode>0.00</c:formatCode>
                <c:ptCount val="5"/>
                <c:pt idx="0">
                  <c:v>7564.3900000000031</c:v>
                </c:pt>
                <c:pt idx="1">
                  <c:v>8362.8300000000017</c:v>
                </c:pt>
                <c:pt idx="2">
                  <c:v>8874.6100000000042</c:v>
                </c:pt>
                <c:pt idx="3">
                  <c:v>9069.49</c:v>
                </c:pt>
                <c:pt idx="4">
                  <c:v>7823.0600000000013</c:v>
                </c:pt>
              </c:numCache>
            </c:numRef>
          </c:val>
          <c:extLst>
            <c:ext xmlns:c16="http://schemas.microsoft.com/office/drawing/2014/chart" uri="{C3380CC4-5D6E-409C-BE32-E72D297353CC}">
              <c16:uniqueId val="{00000000-BE95-4956-B084-6F7D4C39BE3D}"/>
            </c:ext>
          </c:extLst>
        </c:ser>
        <c:ser>
          <c:idx val="1"/>
          <c:order val="1"/>
          <c:tx>
            <c:strRef>
              <c:f>PVT!$Y$3</c:f>
              <c:strCache>
                <c:ptCount val="1"/>
                <c:pt idx="0">
                  <c:v>Sum of Unit_Price</c:v>
                </c:pt>
              </c:strCache>
            </c:strRef>
          </c:tx>
          <c:spPr>
            <a:solidFill>
              <a:schemeClr val="accent2"/>
            </a:solidFill>
            <a:ln>
              <a:noFill/>
            </a:ln>
            <a:effectLst/>
          </c:spPr>
          <c:invertIfNegative val="0"/>
          <c:cat>
            <c:strRef>
              <c:f>PVT!$W$4:$W$9</c:f>
              <c:strCache>
                <c:ptCount val="5"/>
                <c:pt idx="0">
                  <c:v>Alpha_Inc</c:v>
                </c:pt>
                <c:pt idx="1">
                  <c:v>Beta_Supplies</c:v>
                </c:pt>
                <c:pt idx="2">
                  <c:v>Delta_Logistics</c:v>
                </c:pt>
                <c:pt idx="3">
                  <c:v>Epsilon_Group</c:v>
                </c:pt>
                <c:pt idx="4">
                  <c:v>Gamma_Co</c:v>
                </c:pt>
              </c:strCache>
            </c:strRef>
          </c:cat>
          <c:val>
            <c:numRef>
              <c:f>PVT!$Y$4:$Y$9</c:f>
              <c:numCache>
                <c:formatCode>0.00</c:formatCode>
                <c:ptCount val="5"/>
                <c:pt idx="0">
                  <c:v>8232.5000000000036</c:v>
                </c:pt>
                <c:pt idx="1">
                  <c:v>9091.59</c:v>
                </c:pt>
                <c:pt idx="2">
                  <c:v>9616.3599999999969</c:v>
                </c:pt>
                <c:pt idx="3">
                  <c:v>9859.19</c:v>
                </c:pt>
                <c:pt idx="4">
                  <c:v>8486.8900000000012</c:v>
                </c:pt>
              </c:numCache>
            </c:numRef>
          </c:val>
          <c:extLst>
            <c:ext xmlns:c16="http://schemas.microsoft.com/office/drawing/2014/chart" uri="{C3380CC4-5D6E-409C-BE32-E72D297353CC}">
              <c16:uniqueId val="{00000001-BE95-4956-B084-6F7D4C39BE3D}"/>
            </c:ext>
          </c:extLst>
        </c:ser>
        <c:dLbls>
          <c:showLegendKey val="0"/>
          <c:showVal val="0"/>
          <c:showCatName val="0"/>
          <c:showSerName val="0"/>
          <c:showPercent val="0"/>
          <c:showBubbleSize val="0"/>
        </c:dLbls>
        <c:gapWidth val="219"/>
        <c:axId val="364131119"/>
        <c:axId val="364138319"/>
      </c:barChart>
      <c:lineChart>
        <c:grouping val="standard"/>
        <c:varyColors val="0"/>
        <c:ser>
          <c:idx val="2"/>
          <c:order val="2"/>
          <c:tx>
            <c:strRef>
              <c:f>PVT!$Z$3</c:f>
              <c:strCache>
                <c:ptCount val="1"/>
                <c:pt idx="0">
                  <c:v>Average of Saving Percentage</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PVT!$W$4:$W$9</c:f>
              <c:strCache>
                <c:ptCount val="5"/>
                <c:pt idx="0">
                  <c:v>Alpha_Inc</c:v>
                </c:pt>
                <c:pt idx="1">
                  <c:v>Beta_Supplies</c:v>
                </c:pt>
                <c:pt idx="2">
                  <c:v>Delta_Logistics</c:v>
                </c:pt>
                <c:pt idx="3">
                  <c:v>Epsilon_Group</c:v>
                </c:pt>
                <c:pt idx="4">
                  <c:v>Gamma_Co</c:v>
                </c:pt>
              </c:strCache>
            </c:strRef>
          </c:cat>
          <c:val>
            <c:numRef>
              <c:f>PVT!$Z$4:$Z$9</c:f>
              <c:numCache>
                <c:formatCode>0%</c:formatCode>
                <c:ptCount val="5"/>
                <c:pt idx="0">
                  <c:v>8.2104590467255753E-2</c:v>
                </c:pt>
                <c:pt idx="1">
                  <c:v>7.8276992247910543E-2</c:v>
                </c:pt>
                <c:pt idx="2">
                  <c:v>7.8119769226173377E-2</c:v>
                </c:pt>
                <c:pt idx="3">
                  <c:v>8.0405205072453925E-2</c:v>
                </c:pt>
                <c:pt idx="4">
                  <c:v>7.9848562374747065E-2</c:v>
                </c:pt>
              </c:numCache>
            </c:numRef>
          </c:val>
          <c:smooth val="0"/>
          <c:extLst>
            <c:ext xmlns:c16="http://schemas.microsoft.com/office/drawing/2014/chart" uri="{C3380CC4-5D6E-409C-BE32-E72D297353CC}">
              <c16:uniqueId val="{00000003-BE95-4956-B084-6F7D4C39BE3D}"/>
            </c:ext>
          </c:extLst>
        </c:ser>
        <c:dLbls>
          <c:showLegendKey val="0"/>
          <c:showVal val="0"/>
          <c:showCatName val="0"/>
          <c:showSerName val="0"/>
          <c:showPercent val="0"/>
          <c:showBubbleSize val="0"/>
        </c:dLbls>
        <c:marker val="1"/>
        <c:smooth val="0"/>
        <c:axId val="2002714655"/>
        <c:axId val="2002720895"/>
      </c:lineChart>
      <c:catAx>
        <c:axId val="36413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138319"/>
        <c:crosses val="autoZero"/>
        <c:auto val="1"/>
        <c:lblAlgn val="ctr"/>
        <c:lblOffset val="100"/>
        <c:noMultiLvlLbl val="0"/>
      </c:catAx>
      <c:valAx>
        <c:axId val="3641383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131119"/>
        <c:crosses val="autoZero"/>
        <c:crossBetween val="between"/>
      </c:valAx>
      <c:valAx>
        <c:axId val="200272089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714655"/>
        <c:crosses val="max"/>
        <c:crossBetween val="between"/>
      </c:valAx>
      <c:catAx>
        <c:axId val="2002714655"/>
        <c:scaling>
          <c:orientation val="minMax"/>
        </c:scaling>
        <c:delete val="1"/>
        <c:axPos val="b"/>
        <c:numFmt formatCode="General" sourceLinked="1"/>
        <c:majorTickMark val="out"/>
        <c:minorTickMark val="none"/>
        <c:tickLblPos val="nextTo"/>
        <c:crossAx val="20027208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PERFORMANCE DASHBOARD.xlsx]PVT!PivotTable13</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PVT!$AE$3</c:f>
              <c:strCache>
                <c:ptCount val="1"/>
                <c:pt idx="0">
                  <c:v>Total</c:v>
                </c:pt>
              </c:strCache>
            </c:strRef>
          </c:tx>
          <c:spPr>
            <a:ln w="28575" cap="rnd">
              <a:solidFill>
                <a:schemeClr val="accent1"/>
              </a:solidFill>
              <a:round/>
            </a:ln>
            <a:effectLst/>
          </c:spPr>
          <c:marker>
            <c:symbol val="none"/>
          </c:marker>
          <c:cat>
            <c:strRef>
              <c:f>PVT!$AD$4:$AD$9</c:f>
              <c:strCache>
                <c:ptCount val="5"/>
                <c:pt idx="0">
                  <c:v>Alpha_Inc</c:v>
                </c:pt>
                <c:pt idx="1">
                  <c:v>Beta_Supplies</c:v>
                </c:pt>
                <c:pt idx="2">
                  <c:v>Delta_Logistics</c:v>
                </c:pt>
                <c:pt idx="3">
                  <c:v>Epsilon_Group</c:v>
                </c:pt>
                <c:pt idx="4">
                  <c:v>Gamma_Co</c:v>
                </c:pt>
              </c:strCache>
            </c:strRef>
          </c:cat>
          <c:val>
            <c:numRef>
              <c:f>PVT!$AE$4:$AE$9</c:f>
              <c:numCache>
                <c:formatCode>0.00</c:formatCode>
                <c:ptCount val="5"/>
                <c:pt idx="0">
                  <c:v>688920.48999999987</c:v>
                </c:pt>
                <c:pt idx="1">
                  <c:v>889940.89000000036</c:v>
                </c:pt>
                <c:pt idx="2">
                  <c:v>781976.49</c:v>
                </c:pt>
                <c:pt idx="3">
                  <c:v>844980.17999999993</c:v>
                </c:pt>
                <c:pt idx="4">
                  <c:v>725308.42000000062</c:v>
                </c:pt>
              </c:numCache>
            </c:numRef>
          </c:val>
          <c:smooth val="0"/>
          <c:extLst>
            <c:ext xmlns:c16="http://schemas.microsoft.com/office/drawing/2014/chart" uri="{C3380CC4-5D6E-409C-BE32-E72D297353CC}">
              <c16:uniqueId val="{00000000-D2EE-460C-922F-DAC573B7AF92}"/>
            </c:ext>
          </c:extLst>
        </c:ser>
        <c:dLbls>
          <c:showLegendKey val="0"/>
          <c:showVal val="0"/>
          <c:showCatName val="0"/>
          <c:showSerName val="0"/>
          <c:showPercent val="0"/>
          <c:showBubbleSize val="0"/>
        </c:dLbls>
        <c:smooth val="0"/>
        <c:axId val="377360879"/>
        <c:axId val="377367599"/>
      </c:lineChart>
      <c:catAx>
        <c:axId val="37736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367599"/>
        <c:crosses val="autoZero"/>
        <c:auto val="1"/>
        <c:lblAlgn val="ctr"/>
        <c:lblOffset val="100"/>
        <c:noMultiLvlLbl val="0"/>
      </c:catAx>
      <c:valAx>
        <c:axId val="3773675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36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PERFORMANCE DASHBOARD.xlsx]PVT!PivotTable15</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PVT!$B$24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24-43CE-9610-D988FD49D2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24-43CE-9610-D988FD49D212}"/>
              </c:ext>
            </c:extLst>
          </c:dPt>
          <c:cat>
            <c:strRef>
              <c:f>PVT!$A$25:$A$27</c:f>
              <c:strCache>
                <c:ptCount val="2"/>
                <c:pt idx="0">
                  <c:v>No</c:v>
                </c:pt>
                <c:pt idx="1">
                  <c:v>Yes</c:v>
                </c:pt>
              </c:strCache>
            </c:strRef>
          </c:cat>
          <c:val>
            <c:numRef>
              <c:f>PVT!$B$25:$B$27</c:f>
              <c:numCache>
                <c:formatCode>General</c:formatCode>
                <c:ptCount val="2"/>
                <c:pt idx="0">
                  <c:v>137</c:v>
                </c:pt>
                <c:pt idx="1">
                  <c:v>640</c:v>
                </c:pt>
              </c:numCache>
            </c:numRef>
          </c:val>
          <c:extLst>
            <c:ext xmlns:c16="http://schemas.microsoft.com/office/drawing/2014/chart" uri="{C3380CC4-5D6E-409C-BE32-E72D297353CC}">
              <c16:uniqueId val="{00000000-CFD5-4924-99A5-C7B0E766729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hyperlink" Target="#'Key Insight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hyperlink" Target="#Dashboard!A1"/><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345440</xdr:colOff>
      <xdr:row>45</xdr:row>
      <xdr:rowOff>111760</xdr:rowOff>
    </xdr:to>
    <xdr:sp macro="" textlink="">
      <xdr:nvSpPr>
        <xdr:cNvPr id="2" name="Rectangle 1">
          <a:extLst>
            <a:ext uri="{FF2B5EF4-FFF2-40B4-BE49-F238E27FC236}">
              <a16:creationId xmlns:a16="http://schemas.microsoft.com/office/drawing/2014/main" id="{44D4B641-1AB0-4D47-EB8D-8A72190B4C4B}"/>
            </a:ext>
          </a:extLst>
        </xdr:cNvPr>
        <xdr:cNvSpPr/>
      </xdr:nvSpPr>
      <xdr:spPr>
        <a:xfrm>
          <a:off x="0" y="0"/>
          <a:ext cx="19243040" cy="8179995"/>
        </a:xfrm>
        <a:prstGeom prst="rect">
          <a:avLst/>
        </a:prstGeom>
        <a:gradFill>
          <a:gsLst>
            <a:gs pos="0">
              <a:schemeClr val="tx1">
                <a:lumMod val="50000"/>
                <a:lumOff val="50000"/>
              </a:schemeClr>
            </a:gs>
            <a:gs pos="71000">
              <a:schemeClr val="tx1">
                <a:lumMod val="95000"/>
                <a:lumOff val="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490779</xdr:colOff>
      <xdr:row>15</xdr:row>
      <xdr:rowOff>156146</xdr:rowOff>
    </xdr:from>
    <xdr:to>
      <xdr:col>10</xdr:col>
      <xdr:colOff>71034</xdr:colOff>
      <xdr:row>27</xdr:row>
      <xdr:rowOff>7620</xdr:rowOff>
    </xdr:to>
    <xdr:graphicFrame macro="">
      <xdr:nvGraphicFramePr>
        <xdr:cNvPr id="8" name="Chart 7">
          <a:extLst>
            <a:ext uri="{FF2B5EF4-FFF2-40B4-BE49-F238E27FC236}">
              <a16:creationId xmlns:a16="http://schemas.microsoft.com/office/drawing/2014/main" id="{FF478D62-C8F5-4EED-A5FE-EF073FFDA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26</xdr:col>
      <xdr:colOff>419100</xdr:colOff>
      <xdr:row>3</xdr:row>
      <xdr:rowOff>50800</xdr:rowOff>
    </xdr:to>
    <xdr:sp macro="" textlink="">
      <xdr:nvSpPr>
        <xdr:cNvPr id="10" name="Rectangle 9">
          <a:extLst>
            <a:ext uri="{FF2B5EF4-FFF2-40B4-BE49-F238E27FC236}">
              <a16:creationId xmlns:a16="http://schemas.microsoft.com/office/drawing/2014/main" id="{0A38BB42-68AA-9373-6B95-1974E80569DF}"/>
            </a:ext>
          </a:extLst>
        </xdr:cNvPr>
        <xdr:cNvSpPr/>
      </xdr:nvSpPr>
      <xdr:spPr>
        <a:xfrm>
          <a:off x="0" y="0"/>
          <a:ext cx="16268700" cy="599440"/>
        </a:xfrm>
        <a:prstGeom prst="rect">
          <a:avLst/>
        </a:prstGeom>
        <a:solidFill>
          <a:schemeClr val="tx1">
            <a:lumMod val="75000"/>
            <a:lumOff val="2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latin typeface="Calibri" panose="020F0502020204030204" pitchFamily="34" charset="0"/>
              <a:ea typeface="Calibri" panose="020F0502020204030204" pitchFamily="34" charset="0"/>
              <a:cs typeface="Calibri" panose="020F0502020204030204" pitchFamily="34" charset="0"/>
            </a:rPr>
            <a:t>PROCUREMENT</a:t>
          </a:r>
          <a:r>
            <a:rPr lang="en-US" sz="1600" b="1" baseline="0">
              <a:solidFill>
                <a:schemeClr val="bg1"/>
              </a:solidFill>
              <a:latin typeface="Calibri" panose="020F0502020204030204" pitchFamily="34" charset="0"/>
              <a:ea typeface="Calibri" panose="020F0502020204030204" pitchFamily="34" charset="0"/>
              <a:cs typeface="Calibri" panose="020F0502020204030204" pitchFamily="34" charset="0"/>
            </a:rPr>
            <a:t> PERFORMANCE DASHBOARD</a:t>
          </a:r>
        </a:p>
        <a:p>
          <a:pPr algn="l"/>
          <a:r>
            <a:rPr lang="en-US" sz="900" b="0" baseline="0">
              <a:solidFill>
                <a:schemeClr val="bg1"/>
              </a:solidFill>
              <a:latin typeface="Calibri" panose="020F0502020204030204" pitchFamily="34" charset="0"/>
              <a:ea typeface="Calibri" panose="020F0502020204030204" pitchFamily="34" charset="0"/>
              <a:cs typeface="Calibri" panose="020F0502020204030204" pitchFamily="34" charset="0"/>
            </a:rPr>
            <a:t>Better insight | Smarter Decisions | Greater Value</a:t>
          </a:r>
          <a:endParaRPr lang="en-US" sz="900" b="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16</xdr:col>
      <xdr:colOff>1130</xdr:colOff>
      <xdr:row>0</xdr:row>
      <xdr:rowOff>80531</xdr:rowOff>
    </xdr:from>
    <xdr:to>
      <xdr:col>16</xdr:col>
      <xdr:colOff>597602</xdr:colOff>
      <xdr:row>2</xdr:row>
      <xdr:rowOff>153851</xdr:rowOff>
    </xdr:to>
    <xdr:sp macro="" textlink="'Procurement KPI Analysis Datase'!L780">
      <xdr:nvSpPr>
        <xdr:cNvPr id="12" name="TextBox 11">
          <a:extLst>
            <a:ext uri="{FF2B5EF4-FFF2-40B4-BE49-F238E27FC236}">
              <a16:creationId xmlns:a16="http://schemas.microsoft.com/office/drawing/2014/main" id="{48074C27-E2A3-404C-8E06-DAD09A1501A6}"/>
            </a:ext>
          </a:extLst>
        </xdr:cNvPr>
        <xdr:cNvSpPr txBox="1"/>
      </xdr:nvSpPr>
      <xdr:spPr>
        <a:xfrm>
          <a:off x="9754730" y="80531"/>
          <a:ext cx="596472" cy="439080"/>
        </a:xfrm>
        <a:prstGeom prst="rect">
          <a:avLst/>
        </a:prstGeom>
        <a:gradFill flip="none" rotWithShape="1">
          <a:gsLst>
            <a:gs pos="1000">
              <a:schemeClr val="accent1">
                <a:lumMod val="75000"/>
              </a:schemeClr>
            </a:gs>
            <a:gs pos="75000">
              <a:schemeClr val="accent1">
                <a:lumMod val="60000"/>
                <a:lumOff val="40000"/>
              </a:schemeClr>
            </a:gs>
          </a:gsLst>
          <a:lin ang="81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65C8CC-30E3-4783-96C2-9D2C476CCA32}" type="TxLink">
            <a:rPr lang="en-US" sz="1100" b="1" i="0" u="none" strike="noStrike">
              <a:solidFill>
                <a:schemeClr val="bg1"/>
              </a:solidFill>
              <a:effectLst>
                <a:outerShdw blurRad="63500" sx="102000" sy="102000" algn="ctr" rotWithShape="0">
                  <a:prstClr val="black">
                    <a:alpha val="40000"/>
                  </a:prstClr>
                </a:outerShdw>
              </a:effectLst>
              <a:latin typeface="Aptos Narrow"/>
            </a:rPr>
            <a:pPr algn="ctr"/>
            <a:t>10.8</a:t>
          </a:fld>
          <a:endParaRPr lang="en-US" sz="1400" b="1">
            <a:solidFill>
              <a:schemeClr val="bg1"/>
            </a:solidFill>
            <a:effectLst>
              <a:outerShdw blurRad="63500" sx="102000" sy="102000" algn="ctr" rotWithShape="0">
                <a:prstClr val="black">
                  <a:alpha val="40000"/>
                </a:prstClr>
              </a:outerShdw>
            </a:effectLst>
          </a:endParaRPr>
        </a:p>
      </xdr:txBody>
    </xdr:sp>
    <xdr:clientData/>
  </xdr:twoCellAnchor>
  <xdr:twoCellAnchor>
    <xdr:from>
      <xdr:col>14</xdr:col>
      <xdr:colOff>322751</xdr:colOff>
      <xdr:row>0</xdr:row>
      <xdr:rowOff>82990</xdr:rowOff>
    </xdr:from>
    <xdr:to>
      <xdr:col>16</xdr:col>
      <xdr:colOff>8736</xdr:colOff>
      <xdr:row>2</xdr:row>
      <xdr:rowOff>152022</xdr:rowOff>
    </xdr:to>
    <xdr:sp macro="" textlink="">
      <xdr:nvSpPr>
        <xdr:cNvPr id="13" name="TextBox 12">
          <a:extLst>
            <a:ext uri="{FF2B5EF4-FFF2-40B4-BE49-F238E27FC236}">
              <a16:creationId xmlns:a16="http://schemas.microsoft.com/office/drawing/2014/main" id="{5EF4ACE5-AC50-4185-B71C-D2EB6A4A4FDD}"/>
            </a:ext>
          </a:extLst>
        </xdr:cNvPr>
        <xdr:cNvSpPr txBox="1"/>
      </xdr:nvSpPr>
      <xdr:spPr>
        <a:xfrm>
          <a:off x="8878276" y="82990"/>
          <a:ext cx="908203" cy="431171"/>
        </a:xfrm>
        <a:prstGeom prst="rect">
          <a:avLst/>
        </a:prstGeom>
        <a:gradFill flip="none" rotWithShape="1">
          <a:gsLst>
            <a:gs pos="1000">
              <a:schemeClr val="accent1">
                <a:lumMod val="75000"/>
              </a:schemeClr>
            </a:gs>
            <a:gs pos="75000">
              <a:schemeClr val="accent1">
                <a:lumMod val="60000"/>
                <a:lumOff val="40000"/>
              </a:schemeClr>
            </a:gs>
          </a:gsLst>
          <a:lin ang="189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bg1"/>
              </a:solidFill>
              <a:effectLst>
                <a:outerShdw blurRad="63500" sx="102000" sy="102000" algn="ctr" rotWithShape="0">
                  <a:prstClr val="black">
                    <a:alpha val="40000"/>
                  </a:prstClr>
                </a:outerShdw>
              </a:effectLst>
              <a:latin typeface="+mn-lt"/>
            </a:rPr>
            <a:t>Avg. Delivery Lead Time</a:t>
          </a:r>
        </a:p>
      </xdr:txBody>
    </xdr:sp>
    <xdr:clientData/>
  </xdr:twoCellAnchor>
  <xdr:twoCellAnchor>
    <xdr:from>
      <xdr:col>10</xdr:col>
      <xdr:colOff>214730</xdr:colOff>
      <xdr:row>15</xdr:row>
      <xdr:rowOff>142585</xdr:rowOff>
    </xdr:from>
    <xdr:to>
      <xdr:col>14</xdr:col>
      <xdr:colOff>264763</xdr:colOff>
      <xdr:row>27</xdr:row>
      <xdr:rowOff>25832</xdr:rowOff>
    </xdr:to>
    <xdr:graphicFrame macro="">
      <xdr:nvGraphicFramePr>
        <xdr:cNvPr id="14" name="Chart 13">
          <a:extLst>
            <a:ext uri="{FF2B5EF4-FFF2-40B4-BE49-F238E27FC236}">
              <a16:creationId xmlns:a16="http://schemas.microsoft.com/office/drawing/2014/main" id="{B0F44BB3-E6B9-4B4E-A944-ADEC0F11D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55881</xdr:colOff>
      <xdr:row>4</xdr:row>
      <xdr:rowOff>45720</xdr:rowOff>
    </xdr:from>
    <xdr:to>
      <xdr:col>11</xdr:col>
      <xdr:colOff>251460</xdr:colOff>
      <xdr:row>15</xdr:row>
      <xdr:rowOff>30480</xdr:rowOff>
    </xdr:to>
    <xdr:graphicFrame macro="">
      <xdr:nvGraphicFramePr>
        <xdr:cNvPr id="15" name="Chart 14">
          <a:extLst>
            <a:ext uri="{FF2B5EF4-FFF2-40B4-BE49-F238E27FC236}">
              <a16:creationId xmlns:a16="http://schemas.microsoft.com/office/drawing/2014/main" id="{D5218ABF-CD40-4BAB-BF98-87FC68054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388620</xdr:colOff>
      <xdr:row>4</xdr:row>
      <xdr:rowOff>45720</xdr:rowOff>
    </xdr:from>
    <xdr:to>
      <xdr:col>19</xdr:col>
      <xdr:colOff>586740</xdr:colOff>
      <xdr:row>15</xdr:row>
      <xdr:rowOff>60960</xdr:rowOff>
    </xdr:to>
    <xdr:graphicFrame macro="">
      <xdr:nvGraphicFramePr>
        <xdr:cNvPr id="16" name="Chart 15">
          <a:extLst>
            <a:ext uri="{FF2B5EF4-FFF2-40B4-BE49-F238E27FC236}">
              <a16:creationId xmlns:a16="http://schemas.microsoft.com/office/drawing/2014/main" id="{FC9A235F-5CB9-4606-91F7-BFC86E9CD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84772</xdr:colOff>
      <xdr:row>16</xdr:row>
      <xdr:rowOff>65404</xdr:rowOff>
    </xdr:from>
    <xdr:to>
      <xdr:col>2</xdr:col>
      <xdr:colOff>365760</xdr:colOff>
      <xdr:row>26</xdr:row>
      <xdr:rowOff>22860</xdr:rowOff>
    </xdr:to>
    <mc:AlternateContent xmlns:mc="http://schemas.openxmlformats.org/markup-compatibility/2006" xmlns:a14="http://schemas.microsoft.com/office/drawing/2010/main">
      <mc:Choice Requires="a14">
        <xdr:graphicFrame macro="">
          <xdr:nvGraphicFramePr>
            <xdr:cNvPr id="17" name="Item_Category 1">
              <a:extLst>
                <a:ext uri="{FF2B5EF4-FFF2-40B4-BE49-F238E27FC236}">
                  <a16:creationId xmlns:a16="http://schemas.microsoft.com/office/drawing/2014/main" id="{F57E3420-9039-4CC4-AC1E-0C9A2E242E32}"/>
                </a:ext>
              </a:extLst>
            </xdr:cNvPr>
            <xdr:cNvGraphicFramePr/>
          </xdr:nvGraphicFramePr>
          <xdr:xfrm>
            <a:off x="0" y="0"/>
            <a:ext cx="0" cy="0"/>
          </xdr:xfrm>
          <a:graphic>
            <a:graphicData uri="http://schemas.microsoft.com/office/drawing/2010/slicer">
              <sle:slicer xmlns:sle="http://schemas.microsoft.com/office/drawing/2010/slicer" name="Item_Category 1"/>
            </a:graphicData>
          </a:graphic>
        </xdr:graphicFrame>
      </mc:Choice>
      <mc:Fallback xmlns="">
        <xdr:sp macro="" textlink="">
          <xdr:nvSpPr>
            <xdr:cNvPr id="0" name=""/>
            <xdr:cNvSpPr>
              <a:spLocks noTextEdit="1"/>
            </xdr:cNvSpPr>
          </xdr:nvSpPr>
          <xdr:spPr>
            <a:xfrm>
              <a:off x="84772" y="2991484"/>
              <a:ext cx="1500188" cy="1786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78658</xdr:colOff>
      <xdr:row>4</xdr:row>
      <xdr:rowOff>24581</xdr:rowOff>
    </xdr:from>
    <xdr:to>
      <xdr:col>23</xdr:col>
      <xdr:colOff>196645</xdr:colOff>
      <xdr:row>15</xdr:row>
      <xdr:rowOff>60960</xdr:rowOff>
    </xdr:to>
    <xdr:graphicFrame macro="">
      <xdr:nvGraphicFramePr>
        <xdr:cNvPr id="18" name="Chart 17">
          <a:extLst>
            <a:ext uri="{FF2B5EF4-FFF2-40B4-BE49-F238E27FC236}">
              <a16:creationId xmlns:a16="http://schemas.microsoft.com/office/drawing/2014/main" id="{1B08F320-38D0-4FD9-9D3A-668C599D7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111759</xdr:colOff>
      <xdr:row>5</xdr:row>
      <xdr:rowOff>119379</xdr:rowOff>
    </xdr:from>
    <xdr:to>
      <xdr:col>4</xdr:col>
      <xdr:colOff>468946</xdr:colOff>
      <xdr:row>13</xdr:row>
      <xdr:rowOff>8254</xdr:rowOff>
    </xdr:to>
    <mc:AlternateContent xmlns:mc="http://schemas.openxmlformats.org/markup-compatibility/2006" xmlns:tsle="http://schemas.microsoft.com/office/drawing/2012/timeslicer">
      <mc:Choice Requires="tsle">
        <xdr:graphicFrame macro="">
          <xdr:nvGraphicFramePr>
            <xdr:cNvPr id="19" name="Order_Date 1">
              <a:extLst>
                <a:ext uri="{FF2B5EF4-FFF2-40B4-BE49-F238E27FC236}">
                  <a16:creationId xmlns:a16="http://schemas.microsoft.com/office/drawing/2014/main" id="{4828DB3C-1668-4636-B109-EDBDE7EC5A26}"/>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11759" y="1033779"/>
              <a:ext cx="2795587" cy="135191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20</xdr:col>
      <xdr:colOff>23596</xdr:colOff>
      <xdr:row>15</xdr:row>
      <xdr:rowOff>144780</xdr:rowOff>
    </xdr:from>
    <xdr:to>
      <xdr:col>23</xdr:col>
      <xdr:colOff>185829</xdr:colOff>
      <xdr:row>27</xdr:row>
      <xdr:rowOff>45720</xdr:rowOff>
    </xdr:to>
    <xdr:graphicFrame macro="">
      <xdr:nvGraphicFramePr>
        <xdr:cNvPr id="5" name="Chart 4">
          <a:extLst>
            <a:ext uri="{FF2B5EF4-FFF2-40B4-BE49-F238E27FC236}">
              <a16:creationId xmlns:a16="http://schemas.microsoft.com/office/drawing/2014/main" id="{07875D95-8688-467D-957E-5FDB2B981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28656</xdr:colOff>
      <xdr:row>0</xdr:row>
      <xdr:rowOff>81409</xdr:rowOff>
    </xdr:from>
    <xdr:to>
      <xdr:col>12</xdr:col>
      <xdr:colOff>202145</xdr:colOff>
      <xdr:row>2</xdr:row>
      <xdr:rowOff>161982</xdr:rowOff>
    </xdr:to>
    <xdr:sp macro="" textlink="">
      <xdr:nvSpPr>
        <xdr:cNvPr id="28" name="TextBox 27">
          <a:extLst>
            <a:ext uri="{FF2B5EF4-FFF2-40B4-BE49-F238E27FC236}">
              <a16:creationId xmlns:a16="http://schemas.microsoft.com/office/drawing/2014/main" id="{D3E9DF0F-467D-4F11-AA5C-B5C31C2B2FCC}"/>
            </a:ext>
          </a:extLst>
        </xdr:cNvPr>
        <xdr:cNvSpPr txBox="1"/>
      </xdr:nvSpPr>
      <xdr:spPr>
        <a:xfrm>
          <a:off x="6734256" y="81409"/>
          <a:ext cx="783089" cy="446333"/>
        </a:xfrm>
        <a:prstGeom prst="rect">
          <a:avLst/>
        </a:prstGeom>
        <a:gradFill flip="none" rotWithShape="1">
          <a:gsLst>
            <a:gs pos="1000">
              <a:schemeClr val="accent1">
                <a:lumMod val="75000"/>
              </a:schemeClr>
            </a:gs>
            <a:gs pos="75000">
              <a:schemeClr val="accent1">
                <a:lumMod val="60000"/>
                <a:lumOff val="40000"/>
              </a:schemeClr>
            </a:gs>
          </a:gsLst>
          <a:lin ang="2700000" scaled="1"/>
          <a:tileRect/>
        </a:gra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bg1"/>
              </a:solidFill>
              <a:effectLst>
                <a:outerShdw blurRad="63500" sx="102000" sy="102000" algn="ctr" rotWithShape="0">
                  <a:prstClr val="black">
                    <a:alpha val="40000"/>
                  </a:prstClr>
                </a:outerShdw>
              </a:effectLst>
              <a:latin typeface="+mn-lt"/>
            </a:rPr>
            <a:t>Quantity</a:t>
          </a:r>
          <a:r>
            <a:rPr lang="en-US" sz="1100" b="0" i="0" u="none" strike="noStrike" baseline="0">
              <a:solidFill>
                <a:schemeClr val="bg1"/>
              </a:solidFill>
              <a:effectLst>
                <a:outerShdw blurRad="63500" sx="102000" sy="102000" algn="ctr" rotWithShape="0">
                  <a:prstClr val="black">
                    <a:alpha val="40000"/>
                  </a:prstClr>
                </a:outerShdw>
              </a:effectLst>
              <a:latin typeface="+mn-lt"/>
            </a:rPr>
            <a:t> Count</a:t>
          </a:r>
          <a:endParaRPr lang="en-US" sz="1100" b="0" i="0" u="none" strike="noStrike">
            <a:solidFill>
              <a:schemeClr val="bg1"/>
            </a:solidFill>
            <a:effectLst>
              <a:outerShdw blurRad="63500" sx="102000" sy="102000" algn="ctr" rotWithShape="0">
                <a:prstClr val="black">
                  <a:alpha val="40000"/>
                </a:prstClr>
              </a:outerShdw>
            </a:effectLst>
            <a:latin typeface="+mn-lt"/>
          </a:endParaRPr>
        </a:p>
      </xdr:txBody>
    </xdr:sp>
    <xdr:clientData/>
  </xdr:twoCellAnchor>
  <xdr:twoCellAnchor>
    <xdr:from>
      <xdr:col>12</xdr:col>
      <xdr:colOff>201476</xdr:colOff>
      <xdr:row>0</xdr:row>
      <xdr:rowOff>83207</xdr:rowOff>
    </xdr:from>
    <xdr:to>
      <xdr:col>13</xdr:col>
      <xdr:colOff>327499</xdr:colOff>
      <xdr:row>2</xdr:row>
      <xdr:rowOff>156765</xdr:rowOff>
    </xdr:to>
    <xdr:sp macro="" textlink="$AH$3">
      <xdr:nvSpPr>
        <xdr:cNvPr id="4" name="TextBox 3">
          <a:extLst>
            <a:ext uri="{FF2B5EF4-FFF2-40B4-BE49-F238E27FC236}">
              <a16:creationId xmlns:a16="http://schemas.microsoft.com/office/drawing/2014/main" id="{AFD83E2F-007F-484B-AC5F-7E931244BE3A}"/>
            </a:ext>
          </a:extLst>
        </xdr:cNvPr>
        <xdr:cNvSpPr txBox="1"/>
      </xdr:nvSpPr>
      <xdr:spPr>
        <a:xfrm>
          <a:off x="7506166" y="83207"/>
          <a:ext cx="734747" cy="441420"/>
        </a:xfrm>
        <a:prstGeom prst="rect">
          <a:avLst/>
        </a:prstGeom>
        <a:gradFill flip="none" rotWithShape="1">
          <a:gsLst>
            <a:gs pos="1000">
              <a:schemeClr val="accent1">
                <a:lumMod val="75000"/>
              </a:schemeClr>
            </a:gs>
            <a:gs pos="75000">
              <a:schemeClr val="accent1">
                <a:lumMod val="60000"/>
                <a:lumOff val="40000"/>
              </a:schemeClr>
            </a:gs>
          </a:gsLst>
          <a:lin ang="13500000" scaled="1"/>
          <a:tileRect/>
        </a:gra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CE1893-BB6A-466C-943C-5232A3D49A80}" type="TxLink">
            <a:rPr lang="en-US" sz="1100" b="1" i="0" u="none" strike="noStrike">
              <a:solidFill>
                <a:schemeClr val="bg1"/>
              </a:solidFill>
              <a:effectLst>
                <a:outerShdw blurRad="63500" sx="102000" sy="102000" algn="ctr" rotWithShape="0">
                  <a:prstClr val="black">
                    <a:alpha val="40000"/>
                  </a:prstClr>
                </a:outerShdw>
              </a:effectLst>
              <a:latin typeface="Aptos Narrow"/>
            </a:rPr>
            <a:pPr algn="ctr"/>
            <a:t> 850,551 </a:t>
          </a:fld>
          <a:endParaRPr lang="en-US" sz="1100" b="1">
            <a:solidFill>
              <a:schemeClr val="bg1"/>
            </a:solidFill>
            <a:effectLst>
              <a:outerShdw blurRad="63500" sx="102000" sy="102000" algn="ctr" rotWithShape="0">
                <a:prstClr val="black">
                  <a:alpha val="40000"/>
                </a:prstClr>
              </a:outerShdw>
            </a:effectLst>
          </a:endParaRPr>
        </a:p>
      </xdr:txBody>
    </xdr:sp>
    <xdr:clientData/>
  </xdr:twoCellAnchor>
  <xdr:twoCellAnchor>
    <xdr:from>
      <xdr:col>9</xdr:col>
      <xdr:colOff>1237</xdr:colOff>
      <xdr:row>0</xdr:row>
      <xdr:rowOff>84117</xdr:rowOff>
    </xdr:from>
    <xdr:to>
      <xdr:col>10</xdr:col>
      <xdr:colOff>113665</xdr:colOff>
      <xdr:row>2</xdr:row>
      <xdr:rowOff>167639</xdr:rowOff>
    </xdr:to>
    <xdr:sp macro="" textlink="$AH$2">
      <xdr:nvSpPr>
        <xdr:cNvPr id="3" name="TextBox 2">
          <a:extLst>
            <a:ext uri="{FF2B5EF4-FFF2-40B4-BE49-F238E27FC236}">
              <a16:creationId xmlns:a16="http://schemas.microsoft.com/office/drawing/2014/main" id="{56C2CDE5-735D-1724-E17E-8AEF0C9BE4D8}"/>
            </a:ext>
          </a:extLst>
        </xdr:cNvPr>
        <xdr:cNvSpPr txBox="1"/>
      </xdr:nvSpPr>
      <xdr:spPr>
        <a:xfrm>
          <a:off x="5478731" y="84117"/>
          <a:ext cx="721038" cy="449678"/>
        </a:xfrm>
        <a:prstGeom prst="rect">
          <a:avLst/>
        </a:prstGeom>
        <a:gradFill flip="none" rotWithShape="1">
          <a:gsLst>
            <a:gs pos="36000">
              <a:schemeClr val="accent1">
                <a:lumMod val="60000"/>
                <a:lumOff val="40000"/>
              </a:schemeClr>
            </a:gs>
            <a:gs pos="100000">
              <a:schemeClr val="accent1">
                <a:lumMod val="75000"/>
              </a:schemeClr>
            </a:gs>
          </a:gsLst>
          <a:lin ang="2700000" scaled="1"/>
          <a:tileRect/>
        </a:gra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5837F6-FD48-40F8-9869-BA5422C12569}" type="TxLink">
            <a:rPr lang="en-US" sz="1100" b="1" i="0" u="none" strike="noStrike">
              <a:solidFill>
                <a:schemeClr val="bg1"/>
              </a:solidFill>
              <a:effectLst>
                <a:outerShdw blurRad="63500" sx="102000" sy="102000" algn="ctr" rotWithShape="0">
                  <a:prstClr val="black">
                    <a:alpha val="40000"/>
                  </a:prstClr>
                </a:outerShdw>
              </a:effectLst>
              <a:latin typeface="Aptos Narrow"/>
            </a:rPr>
            <a:pPr algn="ctr"/>
            <a:t> 777 </a:t>
          </a:fld>
          <a:endParaRPr lang="en-US" sz="1100" b="1">
            <a:solidFill>
              <a:schemeClr val="bg1"/>
            </a:solidFill>
            <a:effectLst>
              <a:outerShdw blurRad="63500" sx="102000" sy="102000" algn="ctr" rotWithShape="0">
                <a:prstClr val="black">
                  <a:alpha val="40000"/>
                </a:prstClr>
              </a:outerShdw>
            </a:effectLst>
          </a:endParaRPr>
        </a:p>
      </xdr:txBody>
    </xdr:sp>
    <xdr:clientData/>
  </xdr:twoCellAnchor>
  <xdr:twoCellAnchor>
    <xdr:from>
      <xdr:col>7</xdr:col>
      <xdr:colOff>423192</xdr:colOff>
      <xdr:row>0</xdr:row>
      <xdr:rowOff>81014</xdr:rowOff>
    </xdr:from>
    <xdr:to>
      <xdr:col>9</xdr:col>
      <xdr:colOff>1237</xdr:colOff>
      <xdr:row>2</xdr:row>
      <xdr:rowOff>167639</xdr:rowOff>
    </xdr:to>
    <xdr:sp macro="" textlink="">
      <xdr:nvSpPr>
        <xdr:cNvPr id="27" name="TextBox 26">
          <a:extLst>
            <a:ext uri="{FF2B5EF4-FFF2-40B4-BE49-F238E27FC236}">
              <a16:creationId xmlns:a16="http://schemas.microsoft.com/office/drawing/2014/main" id="{9C4C2FAE-D5C2-4D5E-889A-BD5F840D7A07}"/>
            </a:ext>
          </a:extLst>
        </xdr:cNvPr>
        <xdr:cNvSpPr txBox="1"/>
      </xdr:nvSpPr>
      <xdr:spPr>
        <a:xfrm>
          <a:off x="4690392" y="81014"/>
          <a:ext cx="797245" cy="452385"/>
        </a:xfrm>
        <a:prstGeom prst="rect">
          <a:avLst/>
        </a:prstGeom>
        <a:gradFill>
          <a:gsLst>
            <a:gs pos="36000">
              <a:schemeClr val="accent1">
                <a:lumMod val="60000"/>
                <a:lumOff val="40000"/>
              </a:schemeClr>
            </a:gs>
            <a:gs pos="100000">
              <a:schemeClr val="accent1">
                <a:lumMod val="75000"/>
              </a:schemeClr>
            </a:gs>
          </a:gsLst>
          <a:lin ang="13500000" scaled="1"/>
        </a:gra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bg1"/>
              </a:solidFill>
              <a:effectLst>
                <a:outerShdw blurRad="63500" sx="102000" sy="102000" algn="ctr" rotWithShape="0">
                  <a:prstClr val="black">
                    <a:alpha val="40000"/>
                  </a:prstClr>
                </a:outerShdw>
              </a:effectLst>
              <a:latin typeface="+mn-lt"/>
            </a:rPr>
            <a:t>PO Count</a:t>
          </a:r>
        </a:p>
      </xdr:txBody>
    </xdr:sp>
    <xdr:clientData/>
  </xdr:twoCellAnchor>
  <xdr:twoCellAnchor editAs="oneCell">
    <xdr:from>
      <xdr:col>22</xdr:col>
      <xdr:colOff>228600</xdr:colOff>
      <xdr:row>0</xdr:row>
      <xdr:rowOff>83820</xdr:rowOff>
    </xdr:from>
    <xdr:to>
      <xdr:col>23</xdr:col>
      <xdr:colOff>30480</xdr:colOff>
      <xdr:row>2</xdr:row>
      <xdr:rowOff>129540</xdr:rowOff>
    </xdr:to>
    <xdr:pic>
      <xdr:nvPicPr>
        <xdr:cNvPr id="29" name="Picture 28">
          <a:hlinkClick xmlns:r="http://schemas.openxmlformats.org/officeDocument/2006/relationships" r:id="rId7"/>
          <a:extLst>
            <a:ext uri="{FF2B5EF4-FFF2-40B4-BE49-F238E27FC236}">
              <a16:creationId xmlns:a16="http://schemas.microsoft.com/office/drawing/2014/main" id="{4CF898FD-FC76-480D-B01D-9A579714528C}"/>
            </a:ext>
          </a:extLst>
        </xdr:cNvPr>
        <xdr:cNvPicPr>
          <a:picLocks noChangeAspect="1"/>
        </xdr:cNvPicPr>
      </xdr:nvPicPr>
      <xdr:blipFill>
        <a:blip xmlns:r="http://schemas.openxmlformats.org/officeDocument/2006/relationships" r:embed="rId8"/>
        <a:stretch>
          <a:fillRect/>
        </a:stretch>
      </xdr:blipFill>
      <xdr:spPr>
        <a:xfrm>
          <a:off x="13639800" y="83820"/>
          <a:ext cx="411480" cy="411480"/>
        </a:xfrm>
        <a:prstGeom prst="rect">
          <a:avLst/>
        </a:prstGeom>
      </xdr:spPr>
    </xdr:pic>
    <xdr:clientData/>
  </xdr:twoCellAnchor>
  <xdr:twoCellAnchor>
    <xdr:from>
      <xdr:col>14</xdr:col>
      <xdr:colOff>426721</xdr:colOff>
      <xdr:row>15</xdr:row>
      <xdr:rowOff>167640</xdr:rowOff>
    </xdr:from>
    <xdr:to>
      <xdr:col>19</xdr:col>
      <xdr:colOff>518160</xdr:colOff>
      <xdr:row>27</xdr:row>
      <xdr:rowOff>45720</xdr:rowOff>
    </xdr:to>
    <xdr:graphicFrame macro="">
      <xdr:nvGraphicFramePr>
        <xdr:cNvPr id="33" name="Chart 32">
          <a:extLst>
            <a:ext uri="{FF2B5EF4-FFF2-40B4-BE49-F238E27FC236}">
              <a16:creationId xmlns:a16="http://schemas.microsoft.com/office/drawing/2014/main" id="{8AAAFCB9-5464-4C68-ADBB-D119D137C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5796</xdr:colOff>
      <xdr:row>0</xdr:row>
      <xdr:rowOff>73789</xdr:rowOff>
    </xdr:from>
    <xdr:to>
      <xdr:col>19</xdr:col>
      <xdr:colOff>179285</xdr:colOff>
      <xdr:row>2</xdr:row>
      <xdr:rowOff>144780</xdr:rowOff>
    </xdr:to>
    <xdr:sp macro="" textlink="">
      <xdr:nvSpPr>
        <xdr:cNvPr id="6" name="TextBox 5">
          <a:extLst>
            <a:ext uri="{FF2B5EF4-FFF2-40B4-BE49-F238E27FC236}">
              <a16:creationId xmlns:a16="http://schemas.microsoft.com/office/drawing/2014/main" id="{FEAE7057-6B12-403F-8002-B4759D23AA0C}"/>
            </a:ext>
          </a:extLst>
        </xdr:cNvPr>
        <xdr:cNvSpPr txBox="1"/>
      </xdr:nvSpPr>
      <xdr:spPr>
        <a:xfrm>
          <a:off x="10978596" y="73789"/>
          <a:ext cx="783089" cy="436751"/>
        </a:xfrm>
        <a:prstGeom prst="rect">
          <a:avLst/>
        </a:prstGeom>
        <a:gradFill flip="none" rotWithShape="1">
          <a:gsLst>
            <a:gs pos="1000">
              <a:schemeClr val="accent1">
                <a:lumMod val="75000"/>
              </a:schemeClr>
            </a:gs>
            <a:gs pos="75000">
              <a:schemeClr val="accent1">
                <a:lumMod val="60000"/>
                <a:lumOff val="40000"/>
              </a:schemeClr>
            </a:gs>
          </a:gsLst>
          <a:lin ang="2700000" scaled="1"/>
          <a:tileRect/>
        </a:gra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bg1"/>
              </a:solidFill>
              <a:effectLst>
                <a:outerShdw blurRad="63500" sx="102000" sy="102000" algn="ctr" rotWithShape="0">
                  <a:prstClr val="black">
                    <a:alpha val="40000"/>
                  </a:prstClr>
                </a:outerShdw>
              </a:effectLst>
              <a:latin typeface="+mn-lt"/>
            </a:rPr>
            <a:t>Total Cost</a:t>
          </a:r>
          <a:r>
            <a:rPr lang="en-US" sz="1100" b="0" i="0" u="none" strike="noStrike" baseline="0">
              <a:solidFill>
                <a:schemeClr val="bg1"/>
              </a:solidFill>
              <a:effectLst>
                <a:outerShdw blurRad="63500" sx="102000" sy="102000" algn="ctr" rotWithShape="0">
                  <a:prstClr val="black">
                    <a:alpha val="40000"/>
                  </a:prstClr>
                </a:outerShdw>
              </a:effectLst>
              <a:latin typeface="+mn-lt"/>
            </a:rPr>
            <a:t> Savings</a:t>
          </a:r>
          <a:endParaRPr lang="en-US" sz="1100" b="0" i="0" u="none" strike="noStrike">
            <a:solidFill>
              <a:schemeClr val="bg1"/>
            </a:solidFill>
            <a:effectLst>
              <a:outerShdw blurRad="63500" sx="102000" sy="102000" algn="ctr" rotWithShape="0">
                <a:prstClr val="black">
                  <a:alpha val="40000"/>
                </a:prstClr>
              </a:outerShdw>
            </a:effectLst>
            <a:latin typeface="+mn-lt"/>
          </a:endParaRPr>
        </a:p>
      </xdr:txBody>
    </xdr:sp>
    <xdr:clientData/>
  </xdr:twoCellAnchor>
  <xdr:twoCellAnchor>
    <xdr:from>
      <xdr:col>19</xdr:col>
      <xdr:colOff>161150</xdr:colOff>
      <xdr:row>0</xdr:row>
      <xdr:rowOff>72911</xdr:rowOff>
    </xdr:from>
    <xdr:to>
      <xdr:col>20</xdr:col>
      <xdr:colOff>434340</xdr:colOff>
      <xdr:row>2</xdr:row>
      <xdr:rowOff>146231</xdr:rowOff>
    </xdr:to>
    <xdr:sp macro="" textlink="$AH$4">
      <xdr:nvSpPr>
        <xdr:cNvPr id="7" name="TextBox 6">
          <a:extLst>
            <a:ext uri="{FF2B5EF4-FFF2-40B4-BE49-F238E27FC236}">
              <a16:creationId xmlns:a16="http://schemas.microsoft.com/office/drawing/2014/main" id="{AC29FA95-EA12-4569-A151-EFEFFFCDD422}"/>
            </a:ext>
          </a:extLst>
        </xdr:cNvPr>
        <xdr:cNvSpPr txBox="1"/>
      </xdr:nvSpPr>
      <xdr:spPr>
        <a:xfrm>
          <a:off x="11743550" y="72911"/>
          <a:ext cx="882790" cy="439080"/>
        </a:xfrm>
        <a:prstGeom prst="rect">
          <a:avLst/>
        </a:prstGeom>
        <a:gradFill flip="none" rotWithShape="1">
          <a:gsLst>
            <a:gs pos="1000">
              <a:schemeClr val="accent1">
                <a:lumMod val="75000"/>
              </a:schemeClr>
            </a:gs>
            <a:gs pos="75000">
              <a:schemeClr val="accent1">
                <a:lumMod val="60000"/>
                <a:lumOff val="40000"/>
              </a:schemeClr>
            </a:gs>
          </a:gsLst>
          <a:lin ang="81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59F7C0-616D-4B6F-B13A-F70BCD7041CB}" type="TxLink">
            <a:rPr lang="en-US" sz="1100" b="0" i="0" u="none" strike="noStrike">
              <a:solidFill>
                <a:schemeClr val="bg1"/>
              </a:solidFill>
              <a:effectLst>
                <a:outerShdw blurRad="63500" sx="102000" sy="102000" algn="ctr" rotWithShape="0">
                  <a:prstClr val="black">
                    <a:alpha val="40000"/>
                  </a:prstClr>
                </a:outerShdw>
              </a:effectLst>
              <a:latin typeface="Aptos Narrow"/>
            </a:rPr>
            <a:pPr algn="ctr"/>
            <a:t> 3,638,920 </a:t>
          </a:fld>
          <a:endParaRPr lang="en-US" sz="1400" b="1">
            <a:solidFill>
              <a:schemeClr val="bg1"/>
            </a:solidFill>
            <a:effectLst>
              <a:outerShdw blurRad="63500" sx="102000" sy="102000" algn="ctr" rotWithShape="0">
                <a:prstClr val="black">
                  <a:alpha val="40000"/>
                </a:prstClr>
              </a:outerShdw>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345440</xdr:colOff>
      <xdr:row>45</xdr:row>
      <xdr:rowOff>111760</xdr:rowOff>
    </xdr:to>
    <xdr:sp macro="" textlink="">
      <xdr:nvSpPr>
        <xdr:cNvPr id="2" name="Rectangle 1">
          <a:extLst>
            <a:ext uri="{FF2B5EF4-FFF2-40B4-BE49-F238E27FC236}">
              <a16:creationId xmlns:a16="http://schemas.microsoft.com/office/drawing/2014/main" id="{285123E5-6D0D-4363-BB84-058F4E52A6DB}"/>
            </a:ext>
          </a:extLst>
        </xdr:cNvPr>
        <xdr:cNvSpPr/>
      </xdr:nvSpPr>
      <xdr:spPr>
        <a:xfrm>
          <a:off x="0" y="0"/>
          <a:ext cx="19243040" cy="8341360"/>
        </a:xfrm>
        <a:prstGeom prst="rect">
          <a:avLst/>
        </a:prstGeom>
        <a:gradFill>
          <a:gsLst>
            <a:gs pos="0">
              <a:schemeClr val="tx1">
                <a:lumMod val="50000"/>
                <a:lumOff val="50000"/>
              </a:schemeClr>
            </a:gs>
            <a:gs pos="71000">
              <a:schemeClr val="tx1">
                <a:lumMod val="95000"/>
                <a:lumOff val="5000"/>
              </a:schemeClr>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220281</xdr:colOff>
      <xdr:row>4</xdr:row>
      <xdr:rowOff>9985</xdr:rowOff>
    </xdr:from>
    <xdr:to>
      <xdr:col>12</xdr:col>
      <xdr:colOff>495300</xdr:colOff>
      <xdr:row>26</xdr:row>
      <xdr:rowOff>15240</xdr:rowOff>
    </xdr:to>
    <xdr:sp macro="" textlink="">
      <xdr:nvSpPr>
        <xdr:cNvPr id="4" name="Rectangle: Rounded Corners 3">
          <a:extLst>
            <a:ext uri="{FF2B5EF4-FFF2-40B4-BE49-F238E27FC236}">
              <a16:creationId xmlns:a16="http://schemas.microsoft.com/office/drawing/2014/main" id="{F7B6EB99-4D20-4214-8F25-F80655BEFCAC}"/>
            </a:ext>
          </a:extLst>
        </xdr:cNvPr>
        <xdr:cNvSpPr/>
      </xdr:nvSpPr>
      <xdr:spPr>
        <a:xfrm>
          <a:off x="220281" y="741505"/>
          <a:ext cx="7590219" cy="4028615"/>
        </a:xfrm>
        <a:prstGeom prst="roundRect">
          <a:avLst>
            <a:gd name="adj" fmla="val 6832"/>
          </a:avLst>
        </a:prstGeom>
        <a:solidFill>
          <a:schemeClr val="bg1">
            <a:lumMod val="65000"/>
            <a:alpha val="27000"/>
          </a:schemeClr>
        </a:solidFill>
        <a:ln w="9525">
          <a:solidFill>
            <a:schemeClr val="bg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601281</xdr:colOff>
      <xdr:row>16</xdr:row>
      <xdr:rowOff>116665</xdr:rowOff>
    </xdr:from>
    <xdr:to>
      <xdr:col>10</xdr:col>
      <xdr:colOff>495300</xdr:colOff>
      <xdr:row>24</xdr:row>
      <xdr:rowOff>99060</xdr:rowOff>
    </xdr:to>
    <xdr:sp macro="" textlink="">
      <xdr:nvSpPr>
        <xdr:cNvPr id="19" name="Rectangle: Rounded Corners 18">
          <a:extLst>
            <a:ext uri="{FF2B5EF4-FFF2-40B4-BE49-F238E27FC236}">
              <a16:creationId xmlns:a16="http://schemas.microsoft.com/office/drawing/2014/main" id="{EEB6E998-29E5-48F6-8C72-D73A75B63B5B}"/>
            </a:ext>
          </a:extLst>
        </xdr:cNvPr>
        <xdr:cNvSpPr/>
      </xdr:nvSpPr>
      <xdr:spPr>
        <a:xfrm>
          <a:off x="4258881" y="3042745"/>
          <a:ext cx="2332419" cy="1445435"/>
        </a:xfrm>
        <a:custGeom>
          <a:avLst/>
          <a:gdLst>
            <a:gd name="csX0" fmla="*/ 0 w 2332419"/>
            <a:gd name="csY0" fmla="*/ 98752 h 1445435"/>
            <a:gd name="csX1" fmla="*/ 98752 w 2332419"/>
            <a:gd name="csY1" fmla="*/ 0 h 1445435"/>
            <a:gd name="csX2" fmla="*/ 675179 w 2332419"/>
            <a:gd name="csY2" fmla="*/ 0 h 1445435"/>
            <a:gd name="csX3" fmla="*/ 1166210 w 2332419"/>
            <a:gd name="csY3" fmla="*/ 0 h 1445435"/>
            <a:gd name="csX4" fmla="*/ 1635891 w 2332419"/>
            <a:gd name="csY4" fmla="*/ 0 h 1445435"/>
            <a:gd name="csX5" fmla="*/ 2233667 w 2332419"/>
            <a:gd name="csY5" fmla="*/ 0 h 1445435"/>
            <a:gd name="csX6" fmla="*/ 2332419 w 2332419"/>
            <a:gd name="csY6" fmla="*/ 98752 h 1445435"/>
            <a:gd name="csX7" fmla="*/ 2332419 w 2332419"/>
            <a:gd name="csY7" fmla="*/ 697759 h 1445435"/>
            <a:gd name="csX8" fmla="*/ 2332419 w 2332419"/>
            <a:gd name="csY8" fmla="*/ 1346683 h 1445435"/>
            <a:gd name="csX9" fmla="*/ 2233667 w 2332419"/>
            <a:gd name="csY9" fmla="*/ 1445435 h 1445435"/>
            <a:gd name="csX10" fmla="*/ 1678589 w 2332419"/>
            <a:gd name="csY10" fmla="*/ 1445435 h 1445435"/>
            <a:gd name="csX11" fmla="*/ 1102162 w 2332419"/>
            <a:gd name="csY11" fmla="*/ 1445435 h 1445435"/>
            <a:gd name="csX12" fmla="*/ 611132 w 2332419"/>
            <a:gd name="csY12" fmla="*/ 1445435 h 1445435"/>
            <a:gd name="csX13" fmla="*/ 98752 w 2332419"/>
            <a:gd name="csY13" fmla="*/ 1445435 h 1445435"/>
            <a:gd name="csX14" fmla="*/ 0 w 2332419"/>
            <a:gd name="csY14" fmla="*/ 1346683 h 1445435"/>
            <a:gd name="csX15" fmla="*/ 0 w 2332419"/>
            <a:gd name="csY15" fmla="*/ 747676 h 1445435"/>
            <a:gd name="csX16" fmla="*/ 0 w 2332419"/>
            <a:gd name="csY16" fmla="*/ 98752 h 144543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Lst>
          <a:rect l="l" t="t" r="r" b="b"/>
          <a:pathLst>
            <a:path w="2332419" h="1445435" fill="none" extrusionOk="0">
              <a:moveTo>
                <a:pt x="0" y="98752"/>
              </a:moveTo>
              <a:cubicBezTo>
                <a:pt x="662" y="45330"/>
                <a:pt x="43044" y="4262"/>
                <a:pt x="98752" y="0"/>
              </a:cubicBezTo>
              <a:cubicBezTo>
                <a:pt x="261663" y="-27554"/>
                <a:pt x="425730" y="2009"/>
                <a:pt x="675179" y="0"/>
              </a:cubicBezTo>
              <a:cubicBezTo>
                <a:pt x="924628" y="-2009"/>
                <a:pt x="1046557" y="-11189"/>
                <a:pt x="1166210" y="0"/>
              </a:cubicBezTo>
              <a:cubicBezTo>
                <a:pt x="1285863" y="11189"/>
                <a:pt x="1486494" y="10330"/>
                <a:pt x="1635891" y="0"/>
              </a:cubicBezTo>
              <a:cubicBezTo>
                <a:pt x="1785288" y="-10330"/>
                <a:pt x="2022292" y="-2634"/>
                <a:pt x="2233667" y="0"/>
              </a:cubicBezTo>
              <a:cubicBezTo>
                <a:pt x="2287956" y="-1660"/>
                <a:pt x="2327616" y="51323"/>
                <a:pt x="2332419" y="98752"/>
              </a:cubicBezTo>
              <a:cubicBezTo>
                <a:pt x="2331975" y="281804"/>
                <a:pt x="2313678" y="572882"/>
                <a:pt x="2332419" y="697759"/>
              </a:cubicBezTo>
              <a:cubicBezTo>
                <a:pt x="2351160" y="822636"/>
                <a:pt x="2306997" y="1096517"/>
                <a:pt x="2332419" y="1346683"/>
              </a:cubicBezTo>
              <a:cubicBezTo>
                <a:pt x="2334211" y="1407740"/>
                <a:pt x="2288397" y="1450766"/>
                <a:pt x="2233667" y="1445435"/>
              </a:cubicBezTo>
              <a:cubicBezTo>
                <a:pt x="2115548" y="1421699"/>
                <a:pt x="1937081" y="1458349"/>
                <a:pt x="1678589" y="1445435"/>
              </a:cubicBezTo>
              <a:cubicBezTo>
                <a:pt x="1420097" y="1432521"/>
                <a:pt x="1306949" y="1421991"/>
                <a:pt x="1102162" y="1445435"/>
              </a:cubicBezTo>
              <a:cubicBezTo>
                <a:pt x="897375" y="1468879"/>
                <a:pt x="855074" y="1440410"/>
                <a:pt x="611132" y="1445435"/>
              </a:cubicBezTo>
              <a:cubicBezTo>
                <a:pt x="367190" y="1450461"/>
                <a:pt x="322429" y="1455534"/>
                <a:pt x="98752" y="1445435"/>
              </a:cubicBezTo>
              <a:cubicBezTo>
                <a:pt x="49825" y="1436001"/>
                <a:pt x="-2120" y="1397259"/>
                <a:pt x="0" y="1346683"/>
              </a:cubicBezTo>
              <a:cubicBezTo>
                <a:pt x="24942" y="1110008"/>
                <a:pt x="-14799" y="945993"/>
                <a:pt x="0" y="747676"/>
              </a:cubicBezTo>
              <a:cubicBezTo>
                <a:pt x="14799" y="549359"/>
                <a:pt x="26683" y="382525"/>
                <a:pt x="0" y="98752"/>
              </a:cubicBezTo>
              <a:close/>
            </a:path>
            <a:path w="2332419" h="1445435" stroke="0" extrusionOk="0">
              <a:moveTo>
                <a:pt x="0" y="98752"/>
              </a:moveTo>
              <a:cubicBezTo>
                <a:pt x="-11184" y="45376"/>
                <a:pt x="44486" y="1247"/>
                <a:pt x="98752" y="0"/>
              </a:cubicBezTo>
              <a:cubicBezTo>
                <a:pt x="251039" y="22007"/>
                <a:pt x="490884" y="7983"/>
                <a:pt x="632481" y="0"/>
              </a:cubicBezTo>
              <a:cubicBezTo>
                <a:pt x="774078" y="-7983"/>
                <a:pt x="971801" y="-7937"/>
                <a:pt x="1166210" y="0"/>
              </a:cubicBezTo>
              <a:cubicBezTo>
                <a:pt x="1360619" y="7937"/>
                <a:pt x="1484252" y="19586"/>
                <a:pt x="1657240" y="0"/>
              </a:cubicBezTo>
              <a:cubicBezTo>
                <a:pt x="1830228" y="-19586"/>
                <a:pt x="2054033" y="-24400"/>
                <a:pt x="2233667" y="0"/>
              </a:cubicBezTo>
              <a:cubicBezTo>
                <a:pt x="2288233" y="-11926"/>
                <a:pt x="2329075" y="36529"/>
                <a:pt x="2332419" y="98752"/>
              </a:cubicBezTo>
              <a:cubicBezTo>
                <a:pt x="2314501" y="243413"/>
                <a:pt x="2318363" y="518142"/>
                <a:pt x="2332419" y="722718"/>
              </a:cubicBezTo>
              <a:cubicBezTo>
                <a:pt x="2346475" y="927294"/>
                <a:pt x="2338278" y="1094974"/>
                <a:pt x="2332419" y="1346683"/>
              </a:cubicBezTo>
              <a:cubicBezTo>
                <a:pt x="2325519" y="1401711"/>
                <a:pt x="2280609" y="1450478"/>
                <a:pt x="2233667" y="1445435"/>
              </a:cubicBezTo>
              <a:cubicBezTo>
                <a:pt x="2003411" y="1448070"/>
                <a:pt x="1857061" y="1447189"/>
                <a:pt x="1742637" y="1445435"/>
              </a:cubicBezTo>
              <a:cubicBezTo>
                <a:pt x="1628213" y="1443682"/>
                <a:pt x="1348321" y="1471432"/>
                <a:pt x="1187559" y="1445435"/>
              </a:cubicBezTo>
              <a:cubicBezTo>
                <a:pt x="1026797" y="1419438"/>
                <a:pt x="767337" y="1441596"/>
                <a:pt x="653830" y="1445435"/>
              </a:cubicBezTo>
              <a:cubicBezTo>
                <a:pt x="540323" y="1449274"/>
                <a:pt x="271179" y="1447782"/>
                <a:pt x="98752" y="1445435"/>
              </a:cubicBezTo>
              <a:cubicBezTo>
                <a:pt x="34964" y="1442061"/>
                <a:pt x="-179" y="1398908"/>
                <a:pt x="0" y="1346683"/>
              </a:cubicBezTo>
              <a:cubicBezTo>
                <a:pt x="978" y="1191560"/>
                <a:pt x="-26167" y="1027194"/>
                <a:pt x="0" y="735197"/>
              </a:cubicBezTo>
              <a:cubicBezTo>
                <a:pt x="26167" y="443200"/>
                <a:pt x="-6042" y="357808"/>
                <a:pt x="0" y="98752"/>
              </a:cubicBezTo>
              <a:close/>
            </a:path>
          </a:pathLst>
        </a:custGeom>
        <a:solidFill>
          <a:schemeClr val="bg2">
            <a:lumMod val="90000"/>
          </a:schemeClr>
        </a:solidFill>
        <a:ln w="12700">
          <a:solidFill>
            <a:schemeClr val="bg1"/>
          </a:solidFill>
          <a:extLst>
            <a:ext uri="{C807C97D-BFC1-408E-A445-0C87EB9F89A2}">
              <ask:lineSketchStyleProps xmlns:ask="http://schemas.microsoft.com/office/drawing/2018/sketchyshapes" sd="3756108299">
                <a:prstGeom prst="roundRect">
                  <a:avLst>
                    <a:gd name="adj" fmla="val 6832"/>
                  </a:avLst>
                </a:prstGeom>
                <ask:type>
                  <ask:lineSketchFreehand/>
                </ask:type>
              </ask:lineSketchStyleProps>
            </a:ext>
          </a:extLst>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accent1">
                  <a:lumMod val="75000"/>
                </a:schemeClr>
              </a:solidFill>
              <a:latin typeface="+mn-lt"/>
              <a:ea typeface="+mn-ea"/>
              <a:cs typeface="+mn-cs"/>
            </a:rPr>
            <a:t>Compliance Monitoring</a:t>
          </a:r>
        </a:p>
        <a:p>
          <a:endParaRPr lang="en-US" sz="100" b="1">
            <a:solidFill>
              <a:schemeClr val="lt1"/>
            </a:solidFill>
            <a:effectLst/>
            <a:latin typeface="+mn-lt"/>
            <a:ea typeface="+mn-ea"/>
            <a:cs typeface="+mn-cs"/>
          </a:endParaRPr>
        </a:p>
        <a:p>
          <a:endParaRPr lang="en-US" sz="1600">
            <a:effectLst/>
          </a:endParaRPr>
        </a:p>
        <a:p>
          <a:r>
            <a:rPr lang="en-US" sz="1100">
              <a:solidFill>
                <a:schemeClr val="bg2">
                  <a:lumMod val="25000"/>
                </a:schemeClr>
              </a:solidFill>
              <a:effectLst/>
              <a:latin typeface="+mn-lt"/>
              <a:ea typeface="+mn-ea"/>
              <a:cs typeface="+mn-cs"/>
            </a:rPr>
            <a:t>137 purchase orders are marked as non-compliant, representing approximately 17.6% of the 777 records analyzed.</a:t>
          </a:r>
          <a:endParaRPr lang="en-US" sz="1600">
            <a:solidFill>
              <a:schemeClr val="bg2">
                <a:lumMod val="25000"/>
              </a:schemeClr>
            </a:solidFill>
            <a:effectLst/>
          </a:endParaRPr>
        </a:p>
      </xdr:txBody>
    </xdr:sp>
    <xdr:clientData/>
  </xdr:twoCellAnchor>
  <xdr:twoCellAnchor>
    <xdr:from>
      <xdr:col>6</xdr:col>
      <xdr:colOff>578421</xdr:colOff>
      <xdr:row>7</xdr:row>
      <xdr:rowOff>40465</xdr:rowOff>
    </xdr:from>
    <xdr:to>
      <xdr:col>10</xdr:col>
      <xdr:colOff>472440</xdr:colOff>
      <xdr:row>15</xdr:row>
      <xdr:rowOff>22860</xdr:rowOff>
    </xdr:to>
    <xdr:sp macro="" textlink="">
      <xdr:nvSpPr>
        <xdr:cNvPr id="18" name="Rectangle: Rounded Corners 17">
          <a:extLst>
            <a:ext uri="{FF2B5EF4-FFF2-40B4-BE49-F238E27FC236}">
              <a16:creationId xmlns:a16="http://schemas.microsoft.com/office/drawing/2014/main" id="{382DB379-F849-49F4-90D6-D61D78C5E77E}"/>
            </a:ext>
          </a:extLst>
        </xdr:cNvPr>
        <xdr:cNvSpPr/>
      </xdr:nvSpPr>
      <xdr:spPr>
        <a:xfrm>
          <a:off x="4236021" y="1320625"/>
          <a:ext cx="2332419" cy="1445435"/>
        </a:xfrm>
        <a:custGeom>
          <a:avLst/>
          <a:gdLst>
            <a:gd name="csX0" fmla="*/ 0 w 2332419"/>
            <a:gd name="csY0" fmla="*/ 98752 h 1445435"/>
            <a:gd name="csX1" fmla="*/ 98752 w 2332419"/>
            <a:gd name="csY1" fmla="*/ 0 h 1445435"/>
            <a:gd name="csX2" fmla="*/ 568433 w 2332419"/>
            <a:gd name="csY2" fmla="*/ 0 h 1445435"/>
            <a:gd name="csX3" fmla="*/ 1059464 w 2332419"/>
            <a:gd name="csY3" fmla="*/ 0 h 1445435"/>
            <a:gd name="csX4" fmla="*/ 1593193 w 2332419"/>
            <a:gd name="csY4" fmla="*/ 0 h 1445435"/>
            <a:gd name="csX5" fmla="*/ 2233667 w 2332419"/>
            <a:gd name="csY5" fmla="*/ 0 h 1445435"/>
            <a:gd name="csX6" fmla="*/ 2332419 w 2332419"/>
            <a:gd name="csY6" fmla="*/ 98752 h 1445435"/>
            <a:gd name="csX7" fmla="*/ 2332419 w 2332419"/>
            <a:gd name="csY7" fmla="*/ 747676 h 1445435"/>
            <a:gd name="csX8" fmla="*/ 2332419 w 2332419"/>
            <a:gd name="csY8" fmla="*/ 1346683 h 1445435"/>
            <a:gd name="csX9" fmla="*/ 2233667 w 2332419"/>
            <a:gd name="csY9" fmla="*/ 1445435 h 1445435"/>
            <a:gd name="csX10" fmla="*/ 1678589 w 2332419"/>
            <a:gd name="csY10" fmla="*/ 1445435 h 1445435"/>
            <a:gd name="csX11" fmla="*/ 1102162 w 2332419"/>
            <a:gd name="csY11" fmla="*/ 1445435 h 1445435"/>
            <a:gd name="csX12" fmla="*/ 589782 w 2332419"/>
            <a:gd name="csY12" fmla="*/ 1445435 h 1445435"/>
            <a:gd name="csX13" fmla="*/ 98752 w 2332419"/>
            <a:gd name="csY13" fmla="*/ 1445435 h 1445435"/>
            <a:gd name="csX14" fmla="*/ 0 w 2332419"/>
            <a:gd name="csY14" fmla="*/ 1346683 h 1445435"/>
            <a:gd name="csX15" fmla="*/ 0 w 2332419"/>
            <a:gd name="csY15" fmla="*/ 747676 h 1445435"/>
            <a:gd name="csX16" fmla="*/ 0 w 2332419"/>
            <a:gd name="csY16" fmla="*/ 98752 h 144543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Lst>
          <a:rect l="l" t="t" r="r" b="b"/>
          <a:pathLst>
            <a:path w="2332419" h="1445435" fill="none" extrusionOk="0">
              <a:moveTo>
                <a:pt x="0" y="98752"/>
              </a:moveTo>
              <a:cubicBezTo>
                <a:pt x="-6673" y="45363"/>
                <a:pt x="46744" y="-90"/>
                <a:pt x="98752" y="0"/>
              </a:cubicBezTo>
              <a:cubicBezTo>
                <a:pt x="229637" y="-11997"/>
                <a:pt x="421138" y="10306"/>
                <a:pt x="568433" y="0"/>
              </a:cubicBezTo>
              <a:cubicBezTo>
                <a:pt x="715728" y="-10306"/>
                <a:pt x="896225" y="11306"/>
                <a:pt x="1059464" y="0"/>
              </a:cubicBezTo>
              <a:cubicBezTo>
                <a:pt x="1222703" y="-11306"/>
                <a:pt x="1430422" y="4182"/>
                <a:pt x="1593193" y="0"/>
              </a:cubicBezTo>
              <a:cubicBezTo>
                <a:pt x="1755964" y="-4182"/>
                <a:pt x="1971549" y="-13101"/>
                <a:pt x="2233667" y="0"/>
              </a:cubicBezTo>
              <a:cubicBezTo>
                <a:pt x="2285140" y="-2317"/>
                <a:pt x="2337971" y="40916"/>
                <a:pt x="2332419" y="98752"/>
              </a:cubicBezTo>
              <a:cubicBezTo>
                <a:pt x="2350880" y="358384"/>
                <a:pt x="2302194" y="540685"/>
                <a:pt x="2332419" y="747676"/>
              </a:cubicBezTo>
              <a:cubicBezTo>
                <a:pt x="2362644" y="954667"/>
                <a:pt x="2353022" y="1144596"/>
                <a:pt x="2332419" y="1346683"/>
              </a:cubicBezTo>
              <a:cubicBezTo>
                <a:pt x="2323487" y="1409200"/>
                <a:pt x="2291881" y="1448693"/>
                <a:pt x="2233667" y="1445435"/>
              </a:cubicBezTo>
              <a:cubicBezTo>
                <a:pt x="2102527" y="1450010"/>
                <a:pt x="1947269" y="1471800"/>
                <a:pt x="1678589" y="1445435"/>
              </a:cubicBezTo>
              <a:cubicBezTo>
                <a:pt x="1409909" y="1419070"/>
                <a:pt x="1324342" y="1430067"/>
                <a:pt x="1102162" y="1445435"/>
              </a:cubicBezTo>
              <a:cubicBezTo>
                <a:pt x="879982" y="1460803"/>
                <a:pt x="740613" y="1435700"/>
                <a:pt x="589782" y="1445435"/>
              </a:cubicBezTo>
              <a:cubicBezTo>
                <a:pt x="438951" y="1455170"/>
                <a:pt x="329621" y="1439031"/>
                <a:pt x="98752" y="1445435"/>
              </a:cubicBezTo>
              <a:cubicBezTo>
                <a:pt x="47075" y="1441072"/>
                <a:pt x="-6716" y="1396820"/>
                <a:pt x="0" y="1346683"/>
              </a:cubicBezTo>
              <a:cubicBezTo>
                <a:pt x="-23128" y="1148190"/>
                <a:pt x="-6830" y="874082"/>
                <a:pt x="0" y="747676"/>
              </a:cubicBezTo>
              <a:cubicBezTo>
                <a:pt x="6830" y="621270"/>
                <a:pt x="-13979" y="391536"/>
                <a:pt x="0" y="98752"/>
              </a:cubicBezTo>
              <a:close/>
            </a:path>
            <a:path w="2332419" h="1445435" stroke="0" extrusionOk="0">
              <a:moveTo>
                <a:pt x="0" y="98752"/>
              </a:moveTo>
              <a:cubicBezTo>
                <a:pt x="-4569" y="46495"/>
                <a:pt x="39746" y="-972"/>
                <a:pt x="98752" y="0"/>
              </a:cubicBezTo>
              <a:cubicBezTo>
                <a:pt x="258025" y="-18630"/>
                <a:pt x="545026" y="-9961"/>
                <a:pt x="675179" y="0"/>
              </a:cubicBezTo>
              <a:cubicBezTo>
                <a:pt x="805332" y="9961"/>
                <a:pt x="1083923" y="2991"/>
                <a:pt x="1230257" y="0"/>
              </a:cubicBezTo>
              <a:cubicBezTo>
                <a:pt x="1376591" y="-2991"/>
                <a:pt x="1580795" y="17619"/>
                <a:pt x="1742637" y="0"/>
              </a:cubicBezTo>
              <a:cubicBezTo>
                <a:pt x="1904479" y="-17619"/>
                <a:pt x="2038879" y="24204"/>
                <a:pt x="2233667" y="0"/>
              </a:cubicBezTo>
              <a:cubicBezTo>
                <a:pt x="2289815" y="-2333"/>
                <a:pt x="2324611" y="46604"/>
                <a:pt x="2332419" y="98752"/>
              </a:cubicBezTo>
              <a:cubicBezTo>
                <a:pt x="2325057" y="283954"/>
                <a:pt x="2314002" y="422798"/>
                <a:pt x="2332419" y="685280"/>
              </a:cubicBezTo>
              <a:cubicBezTo>
                <a:pt x="2350836" y="947762"/>
                <a:pt x="2363398" y="1091044"/>
                <a:pt x="2332419" y="1346683"/>
              </a:cubicBezTo>
              <a:cubicBezTo>
                <a:pt x="2332731" y="1409810"/>
                <a:pt x="2275911" y="1447466"/>
                <a:pt x="2233667" y="1445435"/>
              </a:cubicBezTo>
              <a:cubicBezTo>
                <a:pt x="1987083" y="1424997"/>
                <a:pt x="1828413" y="1472427"/>
                <a:pt x="1657240" y="1445435"/>
              </a:cubicBezTo>
              <a:cubicBezTo>
                <a:pt x="1486067" y="1418443"/>
                <a:pt x="1352792" y="1436911"/>
                <a:pt x="1166210" y="1445435"/>
              </a:cubicBezTo>
              <a:cubicBezTo>
                <a:pt x="979628" y="1453960"/>
                <a:pt x="750224" y="1427382"/>
                <a:pt x="611132" y="1445435"/>
              </a:cubicBezTo>
              <a:cubicBezTo>
                <a:pt x="472040" y="1463488"/>
                <a:pt x="227298" y="1426359"/>
                <a:pt x="98752" y="1445435"/>
              </a:cubicBezTo>
              <a:cubicBezTo>
                <a:pt x="46131" y="1446917"/>
                <a:pt x="562" y="1393305"/>
                <a:pt x="0" y="1346683"/>
              </a:cubicBezTo>
              <a:cubicBezTo>
                <a:pt x="18593" y="1096716"/>
                <a:pt x="28155" y="1015760"/>
                <a:pt x="0" y="735197"/>
              </a:cubicBezTo>
              <a:cubicBezTo>
                <a:pt x="-28155" y="454634"/>
                <a:pt x="-19534" y="370473"/>
                <a:pt x="0" y="98752"/>
              </a:cubicBezTo>
              <a:close/>
            </a:path>
          </a:pathLst>
        </a:custGeom>
        <a:solidFill>
          <a:schemeClr val="bg2">
            <a:lumMod val="90000"/>
          </a:schemeClr>
        </a:solidFill>
        <a:ln w="12700">
          <a:solidFill>
            <a:schemeClr val="bg1"/>
          </a:solidFill>
          <a:extLst>
            <a:ext uri="{C807C97D-BFC1-408E-A445-0C87EB9F89A2}">
              <ask:lineSketchStyleProps xmlns:ask="http://schemas.microsoft.com/office/drawing/2018/sketchyshapes" sd="2987704935">
                <a:prstGeom prst="roundRect">
                  <a:avLst>
                    <a:gd name="adj" fmla="val 6832"/>
                  </a:avLst>
                </a:prstGeom>
                <ask:type>
                  <ask:lineSketchFreehand/>
                </ask:type>
              </ask:lineSketchStyleProps>
            </a:ext>
          </a:extLst>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accent1">
                  <a:lumMod val="75000"/>
                </a:schemeClr>
              </a:solidFill>
              <a:latin typeface="+mn-lt"/>
              <a:ea typeface="+mn-ea"/>
              <a:cs typeface="+mn-cs"/>
            </a:rPr>
            <a:t>Delivery Performance</a:t>
          </a:r>
        </a:p>
        <a:p>
          <a:endParaRPr lang="en-US" sz="1600">
            <a:effectLst/>
          </a:endParaRPr>
        </a:p>
        <a:p>
          <a:r>
            <a:rPr lang="en-US" sz="1100">
              <a:solidFill>
                <a:schemeClr val="bg2">
                  <a:lumMod val="25000"/>
                </a:schemeClr>
              </a:solidFill>
              <a:effectLst/>
              <a:latin typeface="+mn-lt"/>
              <a:ea typeface="+mn-ea"/>
              <a:cs typeface="+mn-cs"/>
            </a:rPr>
            <a:t>Average delivery lead time ranges from 10.19 to 11.27 days, with Beta Supplies showing the longest average lead time (11.27 days).</a:t>
          </a:r>
          <a:endParaRPr lang="en-US" sz="1600">
            <a:solidFill>
              <a:schemeClr val="bg2">
                <a:lumMod val="25000"/>
              </a:schemeClr>
            </a:solidFill>
            <a:effectLst/>
          </a:endParaRPr>
        </a:p>
      </xdr:txBody>
    </xdr:sp>
    <xdr:clientData/>
  </xdr:twoCellAnchor>
  <xdr:twoCellAnchor>
    <xdr:from>
      <xdr:col>0</xdr:col>
      <xdr:colOff>0</xdr:colOff>
      <xdr:row>0</xdr:row>
      <xdr:rowOff>0</xdr:rowOff>
    </xdr:from>
    <xdr:to>
      <xdr:col>26</xdr:col>
      <xdr:colOff>335280</xdr:colOff>
      <xdr:row>3</xdr:row>
      <xdr:rowOff>50800</xdr:rowOff>
    </xdr:to>
    <xdr:sp macro="" textlink="">
      <xdr:nvSpPr>
        <xdr:cNvPr id="3" name="Rectangle 2">
          <a:extLst>
            <a:ext uri="{FF2B5EF4-FFF2-40B4-BE49-F238E27FC236}">
              <a16:creationId xmlns:a16="http://schemas.microsoft.com/office/drawing/2014/main" id="{B53BEC30-D3CD-4BAD-9EF5-8894B5C2B768}"/>
            </a:ext>
          </a:extLst>
        </xdr:cNvPr>
        <xdr:cNvSpPr/>
      </xdr:nvSpPr>
      <xdr:spPr>
        <a:xfrm>
          <a:off x="0" y="0"/>
          <a:ext cx="16184880" cy="599440"/>
        </a:xfrm>
        <a:prstGeom prst="rect">
          <a:avLst/>
        </a:prstGeom>
        <a:solidFill>
          <a:schemeClr val="tx1">
            <a:lumMod val="65000"/>
            <a:lumOff val="3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latin typeface="Calibri" panose="020F0502020204030204" pitchFamily="34" charset="0"/>
              <a:ea typeface="Calibri" panose="020F0502020204030204" pitchFamily="34" charset="0"/>
              <a:cs typeface="Calibri" panose="020F0502020204030204" pitchFamily="34" charset="0"/>
            </a:rPr>
            <a:t>PROCUREMENT</a:t>
          </a:r>
          <a:r>
            <a:rPr lang="en-US" sz="1600" b="1" baseline="0">
              <a:solidFill>
                <a:schemeClr val="bg1"/>
              </a:solidFill>
              <a:latin typeface="Calibri" panose="020F0502020204030204" pitchFamily="34" charset="0"/>
              <a:ea typeface="Calibri" panose="020F0502020204030204" pitchFamily="34" charset="0"/>
              <a:cs typeface="Calibri" panose="020F0502020204030204" pitchFamily="34" charset="0"/>
            </a:rPr>
            <a:t> PERFORMANCE DASHBOARD</a:t>
          </a:r>
        </a:p>
        <a:p>
          <a:pPr algn="l"/>
          <a:r>
            <a:rPr lang="en-US" sz="1000" b="0" baseline="0">
              <a:solidFill>
                <a:schemeClr val="bg1"/>
              </a:solidFill>
              <a:latin typeface="Calibri" panose="020F0502020204030204" pitchFamily="34" charset="0"/>
              <a:ea typeface="Calibri" panose="020F0502020204030204" pitchFamily="34" charset="0"/>
              <a:cs typeface="Calibri" panose="020F0502020204030204" pitchFamily="34" charset="0"/>
            </a:rPr>
            <a:t>Key Insights &amp; Recommendations</a:t>
          </a:r>
          <a:endParaRPr lang="en-US" sz="1000" b="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22</xdr:col>
      <xdr:colOff>211137</xdr:colOff>
      <xdr:row>0</xdr:row>
      <xdr:rowOff>86361</xdr:rowOff>
    </xdr:from>
    <xdr:to>
      <xdr:col>22</xdr:col>
      <xdr:colOff>581115</xdr:colOff>
      <xdr:row>2</xdr:row>
      <xdr:rowOff>91441</xdr:rowOff>
    </xdr:to>
    <xdr:pic>
      <xdr:nvPicPr>
        <xdr:cNvPr id="7" name="Picture 6">
          <a:hlinkClick xmlns:r="http://schemas.openxmlformats.org/officeDocument/2006/relationships" r:id="rId1"/>
          <a:extLst>
            <a:ext uri="{FF2B5EF4-FFF2-40B4-BE49-F238E27FC236}">
              <a16:creationId xmlns:a16="http://schemas.microsoft.com/office/drawing/2014/main" id="{11831F8F-7465-4B8D-8276-922FDEFC7D63}"/>
            </a:ext>
          </a:extLst>
        </xdr:cNvPr>
        <xdr:cNvPicPr>
          <a:picLocks noChangeAspect="1"/>
        </xdr:cNvPicPr>
      </xdr:nvPicPr>
      <xdr:blipFill>
        <a:blip xmlns:r="http://schemas.openxmlformats.org/officeDocument/2006/relationships" r:embed="rId2"/>
        <a:stretch>
          <a:fillRect/>
        </a:stretch>
      </xdr:blipFill>
      <xdr:spPr>
        <a:xfrm>
          <a:off x="13622337" y="86361"/>
          <a:ext cx="369978" cy="370840"/>
        </a:xfrm>
        <a:prstGeom prst="rect">
          <a:avLst/>
        </a:prstGeom>
      </xdr:spPr>
    </xdr:pic>
    <xdr:clientData/>
  </xdr:twoCellAnchor>
  <xdr:twoCellAnchor editAs="oneCell">
    <xdr:from>
      <xdr:col>0</xdr:col>
      <xdr:colOff>312420</xdr:colOff>
      <xdr:row>4</xdr:row>
      <xdr:rowOff>83820</xdr:rowOff>
    </xdr:from>
    <xdr:to>
      <xdr:col>1</xdr:col>
      <xdr:colOff>152400</xdr:colOff>
      <xdr:row>6</xdr:row>
      <xdr:rowOff>167640</xdr:rowOff>
    </xdr:to>
    <xdr:pic>
      <xdr:nvPicPr>
        <xdr:cNvPr id="8" name="Picture 7">
          <a:extLst>
            <a:ext uri="{FF2B5EF4-FFF2-40B4-BE49-F238E27FC236}">
              <a16:creationId xmlns:a16="http://schemas.microsoft.com/office/drawing/2014/main" id="{B9F90932-158E-A37E-33D5-C532BC5CDD48}"/>
            </a:ext>
          </a:extLst>
        </xdr:cNvPr>
        <xdr:cNvPicPr>
          <a:picLocks noChangeAspect="1"/>
        </xdr:cNvPicPr>
      </xdr:nvPicPr>
      <xdr:blipFill>
        <a:blip xmlns:r="http://schemas.openxmlformats.org/officeDocument/2006/relationships" r:embed="rId3"/>
        <a:stretch>
          <a:fillRect/>
        </a:stretch>
      </xdr:blipFill>
      <xdr:spPr>
        <a:xfrm>
          <a:off x="312420" y="815340"/>
          <a:ext cx="449580" cy="449580"/>
        </a:xfrm>
        <a:prstGeom prst="rect">
          <a:avLst/>
        </a:prstGeom>
      </xdr:spPr>
    </xdr:pic>
    <xdr:clientData/>
  </xdr:twoCellAnchor>
  <xdr:oneCellAnchor>
    <xdr:from>
      <xdr:col>1</xdr:col>
      <xdr:colOff>65345</xdr:colOff>
      <xdr:row>5</xdr:row>
      <xdr:rowOff>30942</xdr:rowOff>
    </xdr:from>
    <xdr:ext cx="1191955" cy="280205"/>
    <xdr:sp macro="" textlink="">
      <xdr:nvSpPr>
        <xdr:cNvPr id="5" name="TextBox 4">
          <a:extLst>
            <a:ext uri="{FF2B5EF4-FFF2-40B4-BE49-F238E27FC236}">
              <a16:creationId xmlns:a16="http://schemas.microsoft.com/office/drawing/2014/main" id="{85F1C00E-4B3A-41DD-B371-AEB40792758D}"/>
            </a:ext>
          </a:extLst>
        </xdr:cNvPr>
        <xdr:cNvSpPr txBox="1"/>
      </xdr:nvSpPr>
      <xdr:spPr>
        <a:xfrm>
          <a:off x="674945" y="945342"/>
          <a:ext cx="119195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bg1"/>
              </a:solidFill>
            </a:rPr>
            <a:t>Key</a:t>
          </a:r>
          <a:r>
            <a:rPr lang="en-US" sz="1200" b="1" baseline="0">
              <a:solidFill>
                <a:schemeClr val="bg1"/>
              </a:solidFill>
            </a:rPr>
            <a:t> Insights</a:t>
          </a:r>
          <a:endParaRPr lang="en-US" sz="1200">
            <a:solidFill>
              <a:schemeClr val="bg1"/>
            </a:solidFill>
          </a:endParaRPr>
        </a:p>
      </xdr:txBody>
    </xdr:sp>
    <xdr:clientData/>
  </xdr:oneCellAnchor>
  <xdr:twoCellAnchor>
    <xdr:from>
      <xdr:col>2</xdr:col>
      <xdr:colOff>311721</xdr:colOff>
      <xdr:row>7</xdr:row>
      <xdr:rowOff>40465</xdr:rowOff>
    </xdr:from>
    <xdr:to>
      <xdr:col>6</xdr:col>
      <xdr:colOff>205740</xdr:colOff>
      <xdr:row>15</xdr:row>
      <xdr:rowOff>22860</xdr:rowOff>
    </xdr:to>
    <xdr:sp macro="" textlink="">
      <xdr:nvSpPr>
        <xdr:cNvPr id="6" name="Rectangle: Rounded Corners 5">
          <a:extLst>
            <a:ext uri="{FF2B5EF4-FFF2-40B4-BE49-F238E27FC236}">
              <a16:creationId xmlns:a16="http://schemas.microsoft.com/office/drawing/2014/main" id="{DD149C75-D877-48AF-A1A7-FD44EEA2C240}"/>
            </a:ext>
          </a:extLst>
        </xdr:cNvPr>
        <xdr:cNvSpPr/>
      </xdr:nvSpPr>
      <xdr:spPr>
        <a:xfrm>
          <a:off x="1530921" y="1320625"/>
          <a:ext cx="2332419" cy="1445435"/>
        </a:xfrm>
        <a:custGeom>
          <a:avLst/>
          <a:gdLst>
            <a:gd name="csX0" fmla="*/ 0 w 2332419"/>
            <a:gd name="csY0" fmla="*/ 98752 h 1445435"/>
            <a:gd name="csX1" fmla="*/ 98752 w 2332419"/>
            <a:gd name="csY1" fmla="*/ 0 h 1445435"/>
            <a:gd name="csX2" fmla="*/ 675179 w 2332419"/>
            <a:gd name="csY2" fmla="*/ 0 h 1445435"/>
            <a:gd name="csX3" fmla="*/ 1208908 w 2332419"/>
            <a:gd name="csY3" fmla="*/ 0 h 1445435"/>
            <a:gd name="csX4" fmla="*/ 1699938 w 2332419"/>
            <a:gd name="csY4" fmla="*/ 0 h 1445435"/>
            <a:gd name="csX5" fmla="*/ 2233667 w 2332419"/>
            <a:gd name="csY5" fmla="*/ 0 h 1445435"/>
            <a:gd name="csX6" fmla="*/ 2332419 w 2332419"/>
            <a:gd name="csY6" fmla="*/ 98752 h 1445435"/>
            <a:gd name="csX7" fmla="*/ 2332419 w 2332419"/>
            <a:gd name="csY7" fmla="*/ 685280 h 1445435"/>
            <a:gd name="csX8" fmla="*/ 2332419 w 2332419"/>
            <a:gd name="csY8" fmla="*/ 1346683 h 1445435"/>
            <a:gd name="csX9" fmla="*/ 2233667 w 2332419"/>
            <a:gd name="csY9" fmla="*/ 1445435 h 1445435"/>
            <a:gd name="csX10" fmla="*/ 1699938 w 2332419"/>
            <a:gd name="csY10" fmla="*/ 1445435 h 1445435"/>
            <a:gd name="csX11" fmla="*/ 1208908 w 2332419"/>
            <a:gd name="csY11" fmla="*/ 1445435 h 1445435"/>
            <a:gd name="csX12" fmla="*/ 696528 w 2332419"/>
            <a:gd name="csY12" fmla="*/ 1445435 h 1445435"/>
            <a:gd name="csX13" fmla="*/ 98752 w 2332419"/>
            <a:gd name="csY13" fmla="*/ 1445435 h 1445435"/>
            <a:gd name="csX14" fmla="*/ 0 w 2332419"/>
            <a:gd name="csY14" fmla="*/ 1346683 h 1445435"/>
            <a:gd name="csX15" fmla="*/ 0 w 2332419"/>
            <a:gd name="csY15" fmla="*/ 735197 h 1445435"/>
            <a:gd name="csX16" fmla="*/ 0 w 2332419"/>
            <a:gd name="csY16" fmla="*/ 98752 h 144543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Lst>
          <a:rect l="l" t="t" r="r" b="b"/>
          <a:pathLst>
            <a:path w="2332419" h="1445435" fill="none" extrusionOk="0">
              <a:moveTo>
                <a:pt x="0" y="98752"/>
              </a:moveTo>
              <a:cubicBezTo>
                <a:pt x="1985" y="33930"/>
                <a:pt x="44665" y="-11124"/>
                <a:pt x="98752" y="0"/>
              </a:cubicBezTo>
              <a:cubicBezTo>
                <a:pt x="259045" y="13860"/>
                <a:pt x="444303" y="4341"/>
                <a:pt x="675179" y="0"/>
              </a:cubicBezTo>
              <a:cubicBezTo>
                <a:pt x="906055" y="-4341"/>
                <a:pt x="954384" y="-12576"/>
                <a:pt x="1208908" y="0"/>
              </a:cubicBezTo>
              <a:cubicBezTo>
                <a:pt x="1463432" y="12576"/>
                <a:pt x="1497507" y="3694"/>
                <a:pt x="1699938" y="0"/>
              </a:cubicBezTo>
              <a:cubicBezTo>
                <a:pt x="1902369" y="-3694"/>
                <a:pt x="2119939" y="-11199"/>
                <a:pt x="2233667" y="0"/>
              </a:cubicBezTo>
              <a:cubicBezTo>
                <a:pt x="2291840" y="-8040"/>
                <a:pt x="2331126" y="49718"/>
                <a:pt x="2332419" y="98752"/>
              </a:cubicBezTo>
              <a:cubicBezTo>
                <a:pt x="2360801" y="333065"/>
                <a:pt x="2321199" y="405380"/>
                <a:pt x="2332419" y="685280"/>
              </a:cubicBezTo>
              <a:cubicBezTo>
                <a:pt x="2343639" y="965180"/>
                <a:pt x="2329055" y="1095969"/>
                <a:pt x="2332419" y="1346683"/>
              </a:cubicBezTo>
              <a:cubicBezTo>
                <a:pt x="2338082" y="1406862"/>
                <a:pt x="2278126" y="1441697"/>
                <a:pt x="2233667" y="1445435"/>
              </a:cubicBezTo>
              <a:cubicBezTo>
                <a:pt x="2114494" y="1419758"/>
                <a:pt x="1900049" y="1440499"/>
                <a:pt x="1699938" y="1445435"/>
              </a:cubicBezTo>
              <a:cubicBezTo>
                <a:pt x="1499827" y="1450371"/>
                <a:pt x="1343500" y="1460307"/>
                <a:pt x="1208908" y="1445435"/>
              </a:cubicBezTo>
              <a:cubicBezTo>
                <a:pt x="1074316" y="1430564"/>
                <a:pt x="814743" y="1429136"/>
                <a:pt x="696528" y="1445435"/>
              </a:cubicBezTo>
              <a:cubicBezTo>
                <a:pt x="578313" y="1461734"/>
                <a:pt x="304364" y="1427474"/>
                <a:pt x="98752" y="1445435"/>
              </a:cubicBezTo>
              <a:cubicBezTo>
                <a:pt x="43203" y="1444521"/>
                <a:pt x="-467" y="1397885"/>
                <a:pt x="0" y="1346683"/>
              </a:cubicBezTo>
              <a:cubicBezTo>
                <a:pt x="5862" y="1211537"/>
                <a:pt x="-22850" y="974946"/>
                <a:pt x="0" y="735197"/>
              </a:cubicBezTo>
              <a:cubicBezTo>
                <a:pt x="22850" y="495448"/>
                <a:pt x="23421" y="273634"/>
                <a:pt x="0" y="98752"/>
              </a:cubicBezTo>
              <a:close/>
            </a:path>
            <a:path w="2332419" h="1445435" stroke="0" extrusionOk="0">
              <a:moveTo>
                <a:pt x="0" y="98752"/>
              </a:moveTo>
              <a:cubicBezTo>
                <a:pt x="431" y="47574"/>
                <a:pt x="44270" y="-2839"/>
                <a:pt x="98752" y="0"/>
              </a:cubicBezTo>
              <a:cubicBezTo>
                <a:pt x="211001" y="3978"/>
                <a:pt x="453958" y="-12787"/>
                <a:pt x="568433" y="0"/>
              </a:cubicBezTo>
              <a:cubicBezTo>
                <a:pt x="682908" y="12787"/>
                <a:pt x="944061" y="11998"/>
                <a:pt x="1059464" y="0"/>
              </a:cubicBezTo>
              <a:cubicBezTo>
                <a:pt x="1174867" y="-11998"/>
                <a:pt x="1314689" y="16212"/>
                <a:pt x="1529145" y="0"/>
              </a:cubicBezTo>
              <a:cubicBezTo>
                <a:pt x="1743601" y="-16212"/>
                <a:pt x="2051076" y="28770"/>
                <a:pt x="2233667" y="0"/>
              </a:cubicBezTo>
              <a:cubicBezTo>
                <a:pt x="2288159" y="-4818"/>
                <a:pt x="2335805" y="31434"/>
                <a:pt x="2332419" y="98752"/>
              </a:cubicBezTo>
              <a:cubicBezTo>
                <a:pt x="2353477" y="313947"/>
                <a:pt x="2331584" y="532014"/>
                <a:pt x="2332419" y="697759"/>
              </a:cubicBezTo>
              <a:cubicBezTo>
                <a:pt x="2333254" y="863504"/>
                <a:pt x="2352032" y="1082252"/>
                <a:pt x="2332419" y="1346683"/>
              </a:cubicBezTo>
              <a:cubicBezTo>
                <a:pt x="2333093" y="1407340"/>
                <a:pt x="2283108" y="1444417"/>
                <a:pt x="2233667" y="1445435"/>
              </a:cubicBezTo>
              <a:cubicBezTo>
                <a:pt x="2072413" y="1440051"/>
                <a:pt x="1858297" y="1451627"/>
                <a:pt x="1763986" y="1445435"/>
              </a:cubicBezTo>
              <a:cubicBezTo>
                <a:pt x="1669675" y="1439243"/>
                <a:pt x="1480681" y="1428664"/>
                <a:pt x="1251606" y="1445435"/>
              </a:cubicBezTo>
              <a:cubicBezTo>
                <a:pt x="1022531" y="1462206"/>
                <a:pt x="933514" y="1438012"/>
                <a:pt x="781925" y="1445435"/>
              </a:cubicBezTo>
              <a:cubicBezTo>
                <a:pt x="630336" y="1452858"/>
                <a:pt x="352995" y="1464765"/>
                <a:pt x="98752" y="1445435"/>
              </a:cubicBezTo>
              <a:cubicBezTo>
                <a:pt x="40759" y="1457142"/>
                <a:pt x="-11883" y="1402624"/>
                <a:pt x="0" y="1346683"/>
              </a:cubicBezTo>
              <a:cubicBezTo>
                <a:pt x="24080" y="1136152"/>
                <a:pt x="-13668" y="996990"/>
                <a:pt x="0" y="722718"/>
              </a:cubicBezTo>
              <a:cubicBezTo>
                <a:pt x="13668" y="448446"/>
                <a:pt x="23405" y="403915"/>
                <a:pt x="0" y="98752"/>
              </a:cubicBezTo>
              <a:close/>
            </a:path>
          </a:pathLst>
        </a:custGeom>
        <a:solidFill>
          <a:schemeClr val="bg2">
            <a:lumMod val="90000"/>
          </a:schemeClr>
        </a:solidFill>
        <a:ln w="12700">
          <a:solidFill>
            <a:schemeClr val="bg1"/>
          </a:solidFill>
          <a:extLst>
            <a:ext uri="{C807C97D-BFC1-408E-A445-0C87EB9F89A2}">
              <ask:lineSketchStyleProps xmlns:ask="http://schemas.microsoft.com/office/drawing/2018/sketchyshapes" sd="329560316">
                <a:prstGeom prst="roundRect">
                  <a:avLst>
                    <a:gd name="adj" fmla="val 6832"/>
                  </a:avLst>
                </a:prstGeom>
                <ask:type>
                  <ask:lineSketchFreehand/>
                </ask:type>
              </ask:lineSketchStyleProps>
            </a:ext>
          </a:extLst>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accent1">
                  <a:lumMod val="75000"/>
                </a:schemeClr>
              </a:solidFill>
              <a:latin typeface="+mn-lt"/>
              <a:ea typeface="+mn-ea"/>
              <a:cs typeface="+mn-cs"/>
            </a:rPr>
            <a:t>Cost</a:t>
          </a:r>
          <a:r>
            <a:rPr lang="en-US" sz="1050" b="1">
              <a:solidFill>
                <a:schemeClr val="lt1"/>
              </a:solidFill>
              <a:effectLst/>
              <a:latin typeface="+mn-lt"/>
              <a:ea typeface="+mn-ea"/>
              <a:cs typeface="+mn-cs"/>
            </a:rPr>
            <a:t> </a:t>
          </a:r>
          <a:r>
            <a:rPr lang="en-US" sz="1050" b="1">
              <a:solidFill>
                <a:schemeClr val="accent1">
                  <a:lumMod val="75000"/>
                </a:schemeClr>
              </a:solidFill>
              <a:latin typeface="+mn-lt"/>
              <a:ea typeface="+mn-ea"/>
              <a:cs typeface="+mn-cs"/>
            </a:rPr>
            <a:t>Optimization</a:t>
          </a:r>
        </a:p>
        <a:p>
          <a:pPr algn="l"/>
          <a:endParaRPr lang="en-US" sz="1000">
            <a:effectLst/>
          </a:endParaRPr>
        </a:p>
        <a:p>
          <a:pPr algn="l"/>
          <a:r>
            <a:rPr lang="en-US" sz="1100">
              <a:solidFill>
                <a:schemeClr val="bg2">
                  <a:lumMod val="25000"/>
                </a:schemeClr>
              </a:solidFill>
              <a:effectLst/>
              <a:latin typeface="+mn-lt"/>
              <a:ea typeface="+mn-ea"/>
              <a:cs typeface="+mn-cs"/>
            </a:rPr>
            <a:t>Negotiated prices are lower than unit prices across the suppliers analyzed, indicating potential cost-saving opportunities through supplier negotiations.</a:t>
          </a:r>
          <a:endParaRPr lang="en-US" sz="1600">
            <a:solidFill>
              <a:schemeClr val="bg2">
                <a:lumMod val="25000"/>
              </a:schemeClr>
            </a:solidFill>
            <a:effectLst/>
          </a:endParaRPr>
        </a:p>
      </xdr:txBody>
    </xdr:sp>
    <xdr:clientData/>
  </xdr:twoCellAnchor>
  <xdr:twoCellAnchor>
    <xdr:from>
      <xdr:col>2</xdr:col>
      <xdr:colOff>334581</xdr:colOff>
      <xdr:row>16</xdr:row>
      <xdr:rowOff>116665</xdr:rowOff>
    </xdr:from>
    <xdr:to>
      <xdr:col>6</xdr:col>
      <xdr:colOff>228600</xdr:colOff>
      <xdr:row>24</xdr:row>
      <xdr:rowOff>99060</xdr:rowOff>
    </xdr:to>
    <xdr:sp macro="" textlink="">
      <xdr:nvSpPr>
        <xdr:cNvPr id="16" name="Rectangle: Rounded Corners 15">
          <a:extLst>
            <a:ext uri="{FF2B5EF4-FFF2-40B4-BE49-F238E27FC236}">
              <a16:creationId xmlns:a16="http://schemas.microsoft.com/office/drawing/2014/main" id="{8ABD80FC-C4B8-463A-915D-4A837F4D2B02}"/>
            </a:ext>
          </a:extLst>
        </xdr:cNvPr>
        <xdr:cNvSpPr/>
      </xdr:nvSpPr>
      <xdr:spPr>
        <a:xfrm>
          <a:off x="1553781" y="3042745"/>
          <a:ext cx="2332419" cy="1445435"/>
        </a:xfrm>
        <a:custGeom>
          <a:avLst/>
          <a:gdLst>
            <a:gd name="csX0" fmla="*/ 0 w 2332419"/>
            <a:gd name="csY0" fmla="*/ 98752 h 1445435"/>
            <a:gd name="csX1" fmla="*/ 98752 w 2332419"/>
            <a:gd name="csY1" fmla="*/ 0 h 1445435"/>
            <a:gd name="csX2" fmla="*/ 568433 w 2332419"/>
            <a:gd name="csY2" fmla="*/ 0 h 1445435"/>
            <a:gd name="csX3" fmla="*/ 1080813 w 2332419"/>
            <a:gd name="csY3" fmla="*/ 0 h 1445435"/>
            <a:gd name="csX4" fmla="*/ 1571843 w 2332419"/>
            <a:gd name="csY4" fmla="*/ 0 h 1445435"/>
            <a:gd name="csX5" fmla="*/ 2233667 w 2332419"/>
            <a:gd name="csY5" fmla="*/ 0 h 1445435"/>
            <a:gd name="csX6" fmla="*/ 2332419 w 2332419"/>
            <a:gd name="csY6" fmla="*/ 98752 h 1445435"/>
            <a:gd name="csX7" fmla="*/ 2332419 w 2332419"/>
            <a:gd name="csY7" fmla="*/ 685280 h 1445435"/>
            <a:gd name="csX8" fmla="*/ 2332419 w 2332419"/>
            <a:gd name="csY8" fmla="*/ 1346683 h 1445435"/>
            <a:gd name="csX9" fmla="*/ 2233667 w 2332419"/>
            <a:gd name="csY9" fmla="*/ 1445435 h 1445435"/>
            <a:gd name="csX10" fmla="*/ 1742637 w 2332419"/>
            <a:gd name="csY10" fmla="*/ 1445435 h 1445435"/>
            <a:gd name="csX11" fmla="*/ 1230257 w 2332419"/>
            <a:gd name="csY11" fmla="*/ 1445435 h 1445435"/>
            <a:gd name="csX12" fmla="*/ 760576 w 2332419"/>
            <a:gd name="csY12" fmla="*/ 1445435 h 1445435"/>
            <a:gd name="csX13" fmla="*/ 98752 w 2332419"/>
            <a:gd name="csY13" fmla="*/ 1445435 h 1445435"/>
            <a:gd name="csX14" fmla="*/ 0 w 2332419"/>
            <a:gd name="csY14" fmla="*/ 1346683 h 1445435"/>
            <a:gd name="csX15" fmla="*/ 0 w 2332419"/>
            <a:gd name="csY15" fmla="*/ 760155 h 1445435"/>
            <a:gd name="csX16" fmla="*/ 0 w 2332419"/>
            <a:gd name="csY16" fmla="*/ 98752 h 144543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Lst>
          <a:rect l="l" t="t" r="r" b="b"/>
          <a:pathLst>
            <a:path w="2332419" h="1445435" fill="none" extrusionOk="0">
              <a:moveTo>
                <a:pt x="0" y="98752"/>
              </a:moveTo>
              <a:cubicBezTo>
                <a:pt x="-8816" y="50029"/>
                <a:pt x="31334" y="-2682"/>
                <a:pt x="98752" y="0"/>
              </a:cubicBezTo>
              <a:cubicBezTo>
                <a:pt x="207137" y="17409"/>
                <a:pt x="347945" y="10053"/>
                <a:pt x="568433" y="0"/>
              </a:cubicBezTo>
              <a:cubicBezTo>
                <a:pt x="788921" y="-10053"/>
                <a:pt x="832197" y="2850"/>
                <a:pt x="1080813" y="0"/>
              </a:cubicBezTo>
              <a:cubicBezTo>
                <a:pt x="1329429" y="-2850"/>
                <a:pt x="1342153" y="6463"/>
                <a:pt x="1571843" y="0"/>
              </a:cubicBezTo>
              <a:cubicBezTo>
                <a:pt x="1801533" y="-6463"/>
                <a:pt x="2016068" y="-22747"/>
                <a:pt x="2233667" y="0"/>
              </a:cubicBezTo>
              <a:cubicBezTo>
                <a:pt x="2295724" y="-337"/>
                <a:pt x="2335214" y="37309"/>
                <a:pt x="2332419" y="98752"/>
              </a:cubicBezTo>
              <a:cubicBezTo>
                <a:pt x="2336480" y="230223"/>
                <a:pt x="2315332" y="406466"/>
                <a:pt x="2332419" y="685280"/>
              </a:cubicBezTo>
              <a:cubicBezTo>
                <a:pt x="2349506" y="964094"/>
                <a:pt x="2334040" y="1168793"/>
                <a:pt x="2332419" y="1346683"/>
              </a:cubicBezTo>
              <a:cubicBezTo>
                <a:pt x="2327292" y="1402468"/>
                <a:pt x="2291952" y="1447386"/>
                <a:pt x="2233667" y="1445435"/>
              </a:cubicBezTo>
              <a:cubicBezTo>
                <a:pt x="2087062" y="1466914"/>
                <a:pt x="1921395" y="1453764"/>
                <a:pt x="1742637" y="1445435"/>
              </a:cubicBezTo>
              <a:cubicBezTo>
                <a:pt x="1563879" y="1437107"/>
                <a:pt x="1401887" y="1466345"/>
                <a:pt x="1230257" y="1445435"/>
              </a:cubicBezTo>
              <a:cubicBezTo>
                <a:pt x="1058627" y="1424525"/>
                <a:pt x="943737" y="1456932"/>
                <a:pt x="760576" y="1445435"/>
              </a:cubicBezTo>
              <a:cubicBezTo>
                <a:pt x="577415" y="1433938"/>
                <a:pt x="328502" y="1416043"/>
                <a:pt x="98752" y="1445435"/>
              </a:cubicBezTo>
              <a:cubicBezTo>
                <a:pt x="44878" y="1441558"/>
                <a:pt x="1775" y="1402114"/>
                <a:pt x="0" y="1346683"/>
              </a:cubicBezTo>
              <a:cubicBezTo>
                <a:pt x="-17808" y="1216359"/>
                <a:pt x="22786" y="918151"/>
                <a:pt x="0" y="760155"/>
              </a:cubicBezTo>
              <a:cubicBezTo>
                <a:pt x="-22786" y="602159"/>
                <a:pt x="12549" y="314349"/>
                <a:pt x="0" y="98752"/>
              </a:cubicBezTo>
              <a:close/>
            </a:path>
            <a:path w="2332419" h="1445435" stroke="0" extrusionOk="0">
              <a:moveTo>
                <a:pt x="0" y="98752"/>
              </a:moveTo>
              <a:cubicBezTo>
                <a:pt x="4286" y="36258"/>
                <a:pt x="44300" y="2301"/>
                <a:pt x="98752" y="0"/>
              </a:cubicBezTo>
              <a:cubicBezTo>
                <a:pt x="370058" y="13158"/>
                <a:pt x="448332" y="6166"/>
                <a:pt x="675179" y="0"/>
              </a:cubicBezTo>
              <a:cubicBezTo>
                <a:pt x="902026" y="-6166"/>
                <a:pt x="1019934" y="-14014"/>
                <a:pt x="1208908" y="0"/>
              </a:cubicBezTo>
              <a:cubicBezTo>
                <a:pt x="1397882" y="14014"/>
                <a:pt x="1498797" y="-22779"/>
                <a:pt x="1678589" y="0"/>
              </a:cubicBezTo>
              <a:cubicBezTo>
                <a:pt x="1858381" y="22779"/>
                <a:pt x="2076762" y="1458"/>
                <a:pt x="2233667" y="0"/>
              </a:cubicBezTo>
              <a:cubicBezTo>
                <a:pt x="2298692" y="4380"/>
                <a:pt x="2333893" y="38867"/>
                <a:pt x="2332419" y="98752"/>
              </a:cubicBezTo>
              <a:cubicBezTo>
                <a:pt x="2332708" y="312582"/>
                <a:pt x="2362931" y="569904"/>
                <a:pt x="2332419" y="722718"/>
              </a:cubicBezTo>
              <a:cubicBezTo>
                <a:pt x="2301907" y="875532"/>
                <a:pt x="2306387" y="1149930"/>
                <a:pt x="2332419" y="1346683"/>
              </a:cubicBezTo>
              <a:cubicBezTo>
                <a:pt x="2335175" y="1412477"/>
                <a:pt x="2286232" y="1451913"/>
                <a:pt x="2233667" y="1445435"/>
              </a:cubicBezTo>
              <a:cubicBezTo>
                <a:pt x="1996792" y="1433799"/>
                <a:pt x="1814577" y="1452984"/>
                <a:pt x="1657240" y="1445435"/>
              </a:cubicBezTo>
              <a:cubicBezTo>
                <a:pt x="1499903" y="1437886"/>
                <a:pt x="1410125" y="1422822"/>
                <a:pt x="1187559" y="1445435"/>
              </a:cubicBezTo>
              <a:cubicBezTo>
                <a:pt x="964993" y="1468048"/>
                <a:pt x="889777" y="1435063"/>
                <a:pt x="611132" y="1445435"/>
              </a:cubicBezTo>
              <a:cubicBezTo>
                <a:pt x="332487" y="1455807"/>
                <a:pt x="334999" y="1447642"/>
                <a:pt x="98752" y="1445435"/>
              </a:cubicBezTo>
              <a:cubicBezTo>
                <a:pt x="49422" y="1448893"/>
                <a:pt x="-2998" y="1410939"/>
                <a:pt x="0" y="1346683"/>
              </a:cubicBezTo>
              <a:cubicBezTo>
                <a:pt x="-22543" y="1198749"/>
                <a:pt x="12445" y="937528"/>
                <a:pt x="0" y="697759"/>
              </a:cubicBezTo>
              <a:cubicBezTo>
                <a:pt x="-12445" y="457990"/>
                <a:pt x="-21326" y="264598"/>
                <a:pt x="0" y="98752"/>
              </a:cubicBezTo>
              <a:close/>
            </a:path>
          </a:pathLst>
        </a:custGeom>
        <a:solidFill>
          <a:schemeClr val="bg2">
            <a:lumMod val="90000"/>
          </a:schemeClr>
        </a:solidFill>
        <a:ln w="12700">
          <a:solidFill>
            <a:schemeClr val="bg1"/>
          </a:solidFill>
          <a:extLst>
            <a:ext uri="{C807C97D-BFC1-408E-A445-0C87EB9F89A2}">
              <ask:lineSketchStyleProps xmlns:ask="http://schemas.microsoft.com/office/drawing/2018/sketchyshapes" sd="2161761103">
                <a:prstGeom prst="roundRect">
                  <a:avLst>
                    <a:gd name="adj" fmla="val 6832"/>
                  </a:avLst>
                </a:prstGeom>
                <ask:type>
                  <ask:lineSketchFreehand/>
                </ask:type>
              </ask:lineSketchStyleProps>
            </a:ext>
          </a:extLst>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050" b="1">
              <a:solidFill>
                <a:schemeClr val="accent1">
                  <a:lumMod val="75000"/>
                </a:schemeClr>
              </a:solidFill>
              <a:latin typeface="+mn-lt"/>
              <a:ea typeface="+mn-ea"/>
              <a:cs typeface="+mn-cs"/>
            </a:rPr>
            <a:t>              Supplier &amp; Category Analysis</a:t>
          </a:r>
        </a:p>
        <a:p>
          <a:pPr marL="0" indent="0" algn="ctr"/>
          <a:endParaRPr lang="en-US" sz="1050" b="1">
            <a:solidFill>
              <a:schemeClr val="accent1">
                <a:lumMod val="75000"/>
              </a:schemeClr>
            </a:solidFill>
            <a:latin typeface="+mn-lt"/>
            <a:ea typeface="+mn-ea"/>
            <a:cs typeface="+mn-cs"/>
          </a:endParaRPr>
        </a:p>
        <a:p>
          <a:pPr marL="0" indent="0" algn="ctr"/>
          <a:endParaRPr lang="en-US" sz="1050" b="1">
            <a:solidFill>
              <a:schemeClr val="accent1">
                <a:lumMod val="75000"/>
              </a:schemeClr>
            </a:solidFill>
            <a:latin typeface="+mn-lt"/>
            <a:ea typeface="+mn-ea"/>
            <a:cs typeface="+mn-cs"/>
          </a:endParaRPr>
        </a:p>
        <a:p>
          <a:r>
            <a:rPr lang="en-US" sz="1100">
              <a:solidFill>
                <a:schemeClr val="bg2">
                  <a:lumMod val="25000"/>
                </a:schemeClr>
              </a:solidFill>
              <a:effectLst/>
              <a:latin typeface="+mn-lt"/>
              <a:ea typeface="+mn-ea"/>
              <a:cs typeface="+mn-cs"/>
            </a:rPr>
            <a:t>Purchasing patterns vary across suppliers and item categories, highlighting opportunities to optimize sourcing and supplier allocation.</a:t>
          </a:r>
          <a:endParaRPr lang="en-US" sz="1600">
            <a:solidFill>
              <a:schemeClr val="bg2">
                <a:lumMod val="25000"/>
              </a:schemeClr>
            </a:solidFill>
            <a:effectLst/>
          </a:endParaRPr>
        </a:p>
      </xdr:txBody>
    </xdr:sp>
    <xdr:clientData/>
  </xdr:twoCellAnchor>
  <xdr:twoCellAnchor editAs="oneCell">
    <xdr:from>
      <xdr:col>7</xdr:col>
      <xdr:colOff>11439</xdr:colOff>
      <xdr:row>7</xdr:row>
      <xdr:rowOff>60354</xdr:rowOff>
    </xdr:from>
    <xdr:to>
      <xdr:col>7</xdr:col>
      <xdr:colOff>450133</xdr:colOff>
      <xdr:row>9</xdr:row>
      <xdr:rowOff>133288</xdr:rowOff>
    </xdr:to>
    <xdr:pic>
      <xdr:nvPicPr>
        <xdr:cNvPr id="10" name="Picture 9">
          <a:extLst>
            <a:ext uri="{FF2B5EF4-FFF2-40B4-BE49-F238E27FC236}">
              <a16:creationId xmlns:a16="http://schemas.microsoft.com/office/drawing/2014/main" id="{8711D07D-780A-87C4-E120-55031E3580B4}"/>
            </a:ext>
          </a:extLst>
        </xdr:cNvPr>
        <xdr:cNvPicPr>
          <a:picLocks noChangeAspect="1"/>
        </xdr:cNvPicPr>
      </xdr:nvPicPr>
      <xdr:blipFill>
        <a:blip xmlns:r="http://schemas.openxmlformats.org/officeDocument/2006/relationships" r:embed="rId4"/>
        <a:stretch>
          <a:fillRect/>
        </a:stretch>
      </xdr:blipFill>
      <xdr:spPr>
        <a:xfrm>
          <a:off x="4278639" y="1340514"/>
          <a:ext cx="438694" cy="438694"/>
        </a:xfrm>
        <a:prstGeom prst="rect">
          <a:avLst/>
        </a:prstGeom>
      </xdr:spPr>
    </xdr:pic>
    <xdr:clientData/>
  </xdr:twoCellAnchor>
  <xdr:twoCellAnchor editAs="oneCell">
    <xdr:from>
      <xdr:col>2</xdr:col>
      <xdr:colOff>381412</xdr:colOff>
      <xdr:row>16</xdr:row>
      <xdr:rowOff>155334</xdr:rowOff>
    </xdr:from>
    <xdr:to>
      <xdr:col>3</xdr:col>
      <xdr:colOff>196927</xdr:colOff>
      <xdr:row>19</xdr:row>
      <xdr:rowOff>30674</xdr:rowOff>
    </xdr:to>
    <xdr:pic>
      <xdr:nvPicPr>
        <xdr:cNvPr id="12" name="Picture 11">
          <a:extLst>
            <a:ext uri="{FF2B5EF4-FFF2-40B4-BE49-F238E27FC236}">
              <a16:creationId xmlns:a16="http://schemas.microsoft.com/office/drawing/2014/main" id="{FFED64E0-5BEF-7CE9-3E48-FA2ECC3858B2}"/>
            </a:ext>
          </a:extLst>
        </xdr:cNvPr>
        <xdr:cNvPicPr>
          <a:picLocks noChangeAspect="1"/>
        </xdr:cNvPicPr>
      </xdr:nvPicPr>
      <xdr:blipFill>
        <a:blip xmlns:r="http://schemas.openxmlformats.org/officeDocument/2006/relationships" r:embed="rId5"/>
        <a:stretch>
          <a:fillRect/>
        </a:stretch>
      </xdr:blipFill>
      <xdr:spPr>
        <a:xfrm>
          <a:off x="1600612" y="3081414"/>
          <a:ext cx="425115" cy="423980"/>
        </a:xfrm>
        <a:prstGeom prst="rect">
          <a:avLst/>
        </a:prstGeom>
      </xdr:spPr>
    </xdr:pic>
    <xdr:clientData/>
  </xdr:twoCellAnchor>
  <xdr:twoCellAnchor editAs="oneCell">
    <xdr:from>
      <xdr:col>2</xdr:col>
      <xdr:colOff>433164</xdr:colOff>
      <xdr:row>7</xdr:row>
      <xdr:rowOff>107624</xdr:rowOff>
    </xdr:from>
    <xdr:to>
      <xdr:col>3</xdr:col>
      <xdr:colOff>203768</xdr:colOff>
      <xdr:row>9</xdr:row>
      <xdr:rowOff>120791</xdr:rowOff>
    </xdr:to>
    <xdr:pic>
      <xdr:nvPicPr>
        <xdr:cNvPr id="13" name="Picture 12">
          <a:extLst>
            <a:ext uri="{FF2B5EF4-FFF2-40B4-BE49-F238E27FC236}">
              <a16:creationId xmlns:a16="http://schemas.microsoft.com/office/drawing/2014/main" id="{64533153-077C-BAB1-58DE-A38CD986F00B}"/>
            </a:ext>
          </a:extLst>
        </xdr:cNvPr>
        <xdr:cNvPicPr>
          <a:picLocks noChangeAspect="1"/>
        </xdr:cNvPicPr>
      </xdr:nvPicPr>
      <xdr:blipFill>
        <a:blip xmlns:r="http://schemas.openxmlformats.org/officeDocument/2006/relationships" r:embed="rId6"/>
        <a:stretch>
          <a:fillRect/>
        </a:stretch>
      </xdr:blipFill>
      <xdr:spPr>
        <a:xfrm>
          <a:off x="1652364" y="1387784"/>
          <a:ext cx="380204" cy="378927"/>
        </a:xfrm>
        <a:prstGeom prst="rect">
          <a:avLst/>
        </a:prstGeom>
      </xdr:spPr>
    </xdr:pic>
    <xdr:clientData/>
  </xdr:twoCellAnchor>
  <xdr:twoCellAnchor editAs="oneCell">
    <xdr:from>
      <xdr:col>7</xdr:col>
      <xdr:colOff>90227</xdr:colOff>
      <xdr:row>17</xdr:row>
      <xdr:rowOff>10533</xdr:rowOff>
    </xdr:from>
    <xdr:to>
      <xdr:col>7</xdr:col>
      <xdr:colOff>458359</xdr:colOff>
      <xdr:row>19</xdr:row>
      <xdr:rowOff>14805</xdr:rowOff>
    </xdr:to>
    <xdr:pic>
      <xdr:nvPicPr>
        <xdr:cNvPr id="14" name="Picture 13">
          <a:extLst>
            <a:ext uri="{FF2B5EF4-FFF2-40B4-BE49-F238E27FC236}">
              <a16:creationId xmlns:a16="http://schemas.microsoft.com/office/drawing/2014/main" id="{DF1090DC-8DB5-0F65-7326-0FBBFBC80835}"/>
            </a:ext>
          </a:extLst>
        </xdr:cNvPr>
        <xdr:cNvPicPr>
          <a:picLocks noChangeAspect="1"/>
        </xdr:cNvPicPr>
      </xdr:nvPicPr>
      <xdr:blipFill>
        <a:blip xmlns:r="http://schemas.openxmlformats.org/officeDocument/2006/relationships" r:embed="rId7"/>
        <a:stretch>
          <a:fillRect/>
        </a:stretch>
      </xdr:blipFill>
      <xdr:spPr>
        <a:xfrm>
          <a:off x="4357427" y="3119493"/>
          <a:ext cx="368132" cy="370032"/>
        </a:xfrm>
        <a:prstGeom prst="rect">
          <a:avLst/>
        </a:prstGeom>
      </xdr:spPr>
    </xdr:pic>
    <xdr:clientData/>
  </xdr:twoCellAnchor>
  <xdr:twoCellAnchor>
    <xdr:from>
      <xdr:col>14</xdr:col>
      <xdr:colOff>121920</xdr:colOff>
      <xdr:row>4</xdr:row>
      <xdr:rowOff>32845</xdr:rowOff>
    </xdr:from>
    <xdr:to>
      <xdr:col>21</xdr:col>
      <xdr:colOff>487680</xdr:colOff>
      <xdr:row>26</xdr:row>
      <xdr:rowOff>38100</xdr:rowOff>
    </xdr:to>
    <xdr:sp macro="" textlink="">
      <xdr:nvSpPr>
        <xdr:cNvPr id="22" name="Rectangle: Rounded Corners 21">
          <a:extLst>
            <a:ext uri="{FF2B5EF4-FFF2-40B4-BE49-F238E27FC236}">
              <a16:creationId xmlns:a16="http://schemas.microsoft.com/office/drawing/2014/main" id="{CA2CC908-8ED1-48E1-8F25-49207259635F}"/>
            </a:ext>
          </a:extLst>
        </xdr:cNvPr>
        <xdr:cNvSpPr/>
      </xdr:nvSpPr>
      <xdr:spPr>
        <a:xfrm>
          <a:off x="8656320" y="764365"/>
          <a:ext cx="4632960" cy="4028615"/>
        </a:xfrm>
        <a:prstGeom prst="roundRect">
          <a:avLst>
            <a:gd name="adj" fmla="val 6832"/>
          </a:avLst>
        </a:prstGeom>
        <a:solidFill>
          <a:schemeClr val="bg1">
            <a:lumMod val="65000"/>
            <a:alpha val="27000"/>
          </a:schemeClr>
        </a:solidFill>
        <a:ln w="9525">
          <a:solidFill>
            <a:schemeClr val="bg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15</xdr:col>
      <xdr:colOff>126305</xdr:colOff>
      <xdr:row>5</xdr:row>
      <xdr:rowOff>462</xdr:rowOff>
    </xdr:from>
    <xdr:ext cx="1618675" cy="280205"/>
    <xdr:sp macro="" textlink="">
      <xdr:nvSpPr>
        <xdr:cNvPr id="23" name="TextBox 22">
          <a:extLst>
            <a:ext uri="{FF2B5EF4-FFF2-40B4-BE49-F238E27FC236}">
              <a16:creationId xmlns:a16="http://schemas.microsoft.com/office/drawing/2014/main" id="{86CD6A77-DF98-436C-BC9C-7D26C1E0972D}"/>
            </a:ext>
          </a:extLst>
        </xdr:cNvPr>
        <xdr:cNvSpPr txBox="1"/>
      </xdr:nvSpPr>
      <xdr:spPr>
        <a:xfrm>
          <a:off x="9270305" y="914862"/>
          <a:ext cx="161867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bg1"/>
              </a:solidFill>
            </a:rPr>
            <a:t>Recommendations</a:t>
          </a:r>
          <a:endParaRPr lang="en-US" sz="1200">
            <a:solidFill>
              <a:schemeClr val="bg1"/>
            </a:solidFill>
          </a:endParaRPr>
        </a:p>
      </xdr:txBody>
    </xdr:sp>
    <xdr:clientData/>
  </xdr:oneCellAnchor>
  <xdr:twoCellAnchor editAs="oneCell">
    <xdr:from>
      <xdr:col>14</xdr:col>
      <xdr:colOff>259080</xdr:colOff>
      <xdr:row>4</xdr:row>
      <xdr:rowOff>121920</xdr:rowOff>
    </xdr:from>
    <xdr:to>
      <xdr:col>15</xdr:col>
      <xdr:colOff>106680</xdr:colOff>
      <xdr:row>7</xdr:row>
      <xdr:rowOff>30480</xdr:rowOff>
    </xdr:to>
    <xdr:pic>
      <xdr:nvPicPr>
        <xdr:cNvPr id="26" name="Picture 25">
          <a:extLst>
            <a:ext uri="{FF2B5EF4-FFF2-40B4-BE49-F238E27FC236}">
              <a16:creationId xmlns:a16="http://schemas.microsoft.com/office/drawing/2014/main" id="{370A85DF-5B63-5AFD-0125-9CCF44D166A5}"/>
            </a:ext>
          </a:extLst>
        </xdr:cNvPr>
        <xdr:cNvPicPr>
          <a:picLocks noChangeAspect="1"/>
        </xdr:cNvPicPr>
      </xdr:nvPicPr>
      <xdr:blipFill>
        <a:blip xmlns:r="http://schemas.openxmlformats.org/officeDocument/2006/relationships" r:embed="rId8"/>
        <a:stretch>
          <a:fillRect/>
        </a:stretch>
      </xdr:blipFill>
      <xdr:spPr>
        <a:xfrm>
          <a:off x="8793480" y="853440"/>
          <a:ext cx="457200" cy="457200"/>
        </a:xfrm>
        <a:prstGeom prst="rect">
          <a:avLst/>
        </a:prstGeom>
      </xdr:spPr>
    </xdr:pic>
    <xdr:clientData/>
  </xdr:twoCellAnchor>
  <xdr:twoCellAnchor>
    <xdr:from>
      <xdr:col>14</xdr:col>
      <xdr:colOff>235727</xdr:colOff>
      <xdr:row>8</xdr:row>
      <xdr:rowOff>39904</xdr:rowOff>
    </xdr:from>
    <xdr:to>
      <xdr:col>21</xdr:col>
      <xdr:colOff>427597</xdr:colOff>
      <xdr:row>11</xdr:row>
      <xdr:rowOff>89096</xdr:rowOff>
    </xdr:to>
    <xdr:sp macro="" textlink="">
      <xdr:nvSpPr>
        <xdr:cNvPr id="27" name="Rectangle: Rounded Corners 26">
          <a:extLst>
            <a:ext uri="{FF2B5EF4-FFF2-40B4-BE49-F238E27FC236}">
              <a16:creationId xmlns:a16="http://schemas.microsoft.com/office/drawing/2014/main" id="{67BF4EAD-82B8-4530-9AF1-BD56C958AB2E}"/>
            </a:ext>
          </a:extLst>
        </xdr:cNvPr>
        <xdr:cNvSpPr/>
      </xdr:nvSpPr>
      <xdr:spPr>
        <a:xfrm>
          <a:off x="8749612" y="1505289"/>
          <a:ext cx="4448812" cy="598711"/>
        </a:xfrm>
        <a:prstGeom prst="roundRect">
          <a:avLst>
            <a:gd name="adj" fmla="val 50000"/>
          </a:avLst>
        </a:prstGeom>
        <a:solidFill>
          <a:schemeClr val="bg2">
            <a:lumMod val="90000"/>
          </a:schemeClr>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US" sz="900">
            <a:solidFill>
              <a:schemeClr val="bg2">
                <a:lumMod val="25000"/>
              </a:schemeClr>
            </a:solidFill>
          </a:endParaRPr>
        </a:p>
      </xdr:txBody>
    </xdr:sp>
    <xdr:clientData/>
  </xdr:twoCellAnchor>
  <xdr:twoCellAnchor>
    <xdr:from>
      <xdr:col>14</xdr:col>
      <xdr:colOff>285065</xdr:colOff>
      <xdr:row>20</xdr:row>
      <xdr:rowOff>131905</xdr:rowOff>
    </xdr:from>
    <xdr:to>
      <xdr:col>21</xdr:col>
      <xdr:colOff>416633</xdr:colOff>
      <xdr:row>23</xdr:row>
      <xdr:rowOff>121920</xdr:rowOff>
    </xdr:to>
    <xdr:sp macro="" textlink="">
      <xdr:nvSpPr>
        <xdr:cNvPr id="28" name="Rectangle: Rounded Corners 27">
          <a:extLst>
            <a:ext uri="{FF2B5EF4-FFF2-40B4-BE49-F238E27FC236}">
              <a16:creationId xmlns:a16="http://schemas.microsoft.com/office/drawing/2014/main" id="{382009B1-4675-4321-AB77-15A227D46DCF}"/>
            </a:ext>
          </a:extLst>
        </xdr:cNvPr>
        <xdr:cNvSpPr/>
      </xdr:nvSpPr>
      <xdr:spPr>
        <a:xfrm>
          <a:off x="8819465" y="3789505"/>
          <a:ext cx="4398768" cy="538655"/>
        </a:xfrm>
        <a:prstGeom prst="roundRect">
          <a:avLst>
            <a:gd name="adj" fmla="val 50000"/>
          </a:avLst>
        </a:prstGeom>
        <a:solidFill>
          <a:schemeClr val="bg2">
            <a:lumMod val="90000"/>
          </a:schemeClr>
        </a:solidFill>
        <a:ln>
          <a:solidFill>
            <a:schemeClr val="accent6">
              <a:lumMod val="60000"/>
              <a:lumOff val="4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a:solidFill>
              <a:schemeClr val="bg2">
                <a:lumMod val="25000"/>
              </a:schemeClr>
            </a:solidFill>
            <a:effectLst/>
          </a:endParaRPr>
        </a:p>
      </xdr:txBody>
    </xdr:sp>
    <xdr:clientData/>
  </xdr:twoCellAnchor>
  <xdr:twoCellAnchor>
    <xdr:from>
      <xdr:col>14</xdr:col>
      <xdr:colOff>274101</xdr:colOff>
      <xdr:row>16</xdr:row>
      <xdr:rowOff>147145</xdr:rowOff>
    </xdr:from>
    <xdr:to>
      <xdr:col>21</xdr:col>
      <xdr:colOff>378259</xdr:colOff>
      <xdr:row>19</xdr:row>
      <xdr:rowOff>137160</xdr:rowOff>
    </xdr:to>
    <xdr:sp macro="" textlink="">
      <xdr:nvSpPr>
        <xdr:cNvPr id="29" name="Rectangle: Rounded Corners 28">
          <a:extLst>
            <a:ext uri="{FF2B5EF4-FFF2-40B4-BE49-F238E27FC236}">
              <a16:creationId xmlns:a16="http://schemas.microsoft.com/office/drawing/2014/main" id="{F0038848-FB15-4B00-923D-36CFCD54F8ED}"/>
            </a:ext>
          </a:extLst>
        </xdr:cNvPr>
        <xdr:cNvSpPr/>
      </xdr:nvSpPr>
      <xdr:spPr>
        <a:xfrm>
          <a:off x="8808501" y="3073225"/>
          <a:ext cx="4371358" cy="538655"/>
        </a:xfrm>
        <a:prstGeom prst="roundRect">
          <a:avLst>
            <a:gd name="adj" fmla="val 50000"/>
          </a:avLst>
        </a:prstGeom>
        <a:solidFill>
          <a:schemeClr val="bg2">
            <a:lumMod val="90000"/>
          </a:schemeClr>
        </a:solidFill>
        <a:ln>
          <a:solidFill>
            <a:srgbClr val="FFC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a:solidFill>
              <a:schemeClr val="bg2">
                <a:lumMod val="25000"/>
              </a:schemeClr>
            </a:solidFill>
            <a:effectLst/>
          </a:endParaRPr>
        </a:p>
      </xdr:txBody>
    </xdr:sp>
    <xdr:clientData/>
  </xdr:twoCellAnchor>
  <xdr:twoCellAnchor>
    <xdr:from>
      <xdr:col>14</xdr:col>
      <xdr:colOff>246691</xdr:colOff>
      <xdr:row>12</xdr:row>
      <xdr:rowOff>86185</xdr:rowOff>
    </xdr:from>
    <xdr:to>
      <xdr:col>21</xdr:col>
      <xdr:colOff>422115</xdr:colOff>
      <xdr:row>15</xdr:row>
      <xdr:rowOff>76200</xdr:rowOff>
    </xdr:to>
    <xdr:sp macro="" textlink="">
      <xdr:nvSpPr>
        <xdr:cNvPr id="30" name="Rectangle: Rounded Corners 29">
          <a:extLst>
            <a:ext uri="{FF2B5EF4-FFF2-40B4-BE49-F238E27FC236}">
              <a16:creationId xmlns:a16="http://schemas.microsoft.com/office/drawing/2014/main" id="{D66AE260-D4B1-467A-9D28-CCA75EEFCF73}"/>
            </a:ext>
          </a:extLst>
        </xdr:cNvPr>
        <xdr:cNvSpPr/>
      </xdr:nvSpPr>
      <xdr:spPr>
        <a:xfrm>
          <a:off x="8781091" y="2280745"/>
          <a:ext cx="4442624" cy="538655"/>
        </a:xfrm>
        <a:prstGeom prst="roundRect">
          <a:avLst>
            <a:gd name="adj" fmla="val 50000"/>
          </a:avLst>
        </a:prstGeom>
        <a:solidFill>
          <a:schemeClr val="bg2">
            <a:lumMod val="90000"/>
          </a:schemeClr>
        </a:solidFill>
        <a:ln>
          <a:solidFill>
            <a:srgbClr val="FFC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US" sz="900">
            <a:solidFill>
              <a:schemeClr val="bg2">
                <a:lumMod val="25000"/>
              </a:schemeClr>
            </a:solidFill>
          </a:endParaRPr>
        </a:p>
      </xdr:txBody>
    </xdr:sp>
    <xdr:clientData/>
  </xdr:twoCellAnchor>
  <xdr:twoCellAnchor>
    <xdr:from>
      <xdr:col>14</xdr:col>
      <xdr:colOff>328153</xdr:colOff>
      <xdr:row>9</xdr:row>
      <xdr:rowOff>660</xdr:rowOff>
    </xdr:from>
    <xdr:to>
      <xdr:col>16</xdr:col>
      <xdr:colOff>145273</xdr:colOff>
      <xdr:row>10</xdr:row>
      <xdr:rowOff>128128</xdr:rowOff>
    </xdr:to>
    <xdr:sp macro="" textlink="">
      <xdr:nvSpPr>
        <xdr:cNvPr id="32" name="Rectangle: Rounded Corners 31">
          <a:extLst>
            <a:ext uri="{FF2B5EF4-FFF2-40B4-BE49-F238E27FC236}">
              <a16:creationId xmlns:a16="http://schemas.microsoft.com/office/drawing/2014/main" id="{67E747A7-F49E-4643-AA8C-C71818FC7A95}"/>
            </a:ext>
          </a:extLst>
        </xdr:cNvPr>
        <xdr:cNvSpPr/>
      </xdr:nvSpPr>
      <xdr:spPr>
        <a:xfrm>
          <a:off x="8842038" y="1649218"/>
          <a:ext cx="1033389" cy="310641"/>
        </a:xfrm>
        <a:prstGeom prst="roundRect">
          <a:avLst>
            <a:gd name="adj" fmla="val 50000"/>
          </a:avLst>
        </a:prstGeom>
        <a:solidFill>
          <a:srgbClr val="FF0000"/>
        </a:solidFill>
        <a:ln>
          <a:solidFill>
            <a:srgbClr val="FF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effectLst/>
            </a:rPr>
            <a:t>High Priority</a:t>
          </a:r>
        </a:p>
      </xdr:txBody>
    </xdr:sp>
    <xdr:clientData/>
  </xdr:twoCellAnchor>
  <xdr:twoCellAnchor>
    <xdr:from>
      <xdr:col>14</xdr:col>
      <xdr:colOff>366899</xdr:colOff>
      <xdr:row>13</xdr:row>
      <xdr:rowOff>27548</xdr:rowOff>
    </xdr:from>
    <xdr:to>
      <xdr:col>16</xdr:col>
      <xdr:colOff>184019</xdr:colOff>
      <xdr:row>14</xdr:row>
      <xdr:rowOff>153822</xdr:rowOff>
    </xdr:to>
    <xdr:sp macro="" textlink="">
      <xdr:nvSpPr>
        <xdr:cNvPr id="33" name="Rectangle: Rounded Corners 32">
          <a:extLst>
            <a:ext uri="{FF2B5EF4-FFF2-40B4-BE49-F238E27FC236}">
              <a16:creationId xmlns:a16="http://schemas.microsoft.com/office/drawing/2014/main" id="{F760E196-9F94-4252-B75F-DF09747E20A2}"/>
            </a:ext>
          </a:extLst>
        </xdr:cNvPr>
        <xdr:cNvSpPr/>
      </xdr:nvSpPr>
      <xdr:spPr>
        <a:xfrm>
          <a:off x="8922424" y="2381449"/>
          <a:ext cx="1039338" cy="307343"/>
        </a:xfrm>
        <a:prstGeom prst="roundRect">
          <a:avLst>
            <a:gd name="adj" fmla="val 50000"/>
          </a:avLst>
        </a:prstGeom>
        <a:solidFill>
          <a:srgbClr val="FFC000"/>
        </a:solidFill>
        <a:ln>
          <a:solidFill>
            <a:srgbClr val="FFC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accent1">
                  <a:lumMod val="75000"/>
                </a:schemeClr>
              </a:solidFill>
              <a:effectLst/>
            </a:rPr>
            <a:t>Med Priority</a:t>
          </a:r>
        </a:p>
      </xdr:txBody>
    </xdr:sp>
    <xdr:clientData/>
  </xdr:twoCellAnchor>
  <xdr:twoCellAnchor>
    <xdr:from>
      <xdr:col>14</xdr:col>
      <xdr:colOff>397008</xdr:colOff>
      <xdr:row>21</xdr:row>
      <xdr:rowOff>48085</xdr:rowOff>
    </xdr:from>
    <xdr:to>
      <xdr:col>16</xdr:col>
      <xdr:colOff>214128</xdr:colOff>
      <xdr:row>22</xdr:row>
      <xdr:rowOff>175260</xdr:rowOff>
    </xdr:to>
    <xdr:sp macro="" textlink="">
      <xdr:nvSpPr>
        <xdr:cNvPr id="35" name="Rectangle: Rounded Corners 34">
          <a:extLst>
            <a:ext uri="{FF2B5EF4-FFF2-40B4-BE49-F238E27FC236}">
              <a16:creationId xmlns:a16="http://schemas.microsoft.com/office/drawing/2014/main" id="{2EEF2295-780A-4C18-A22E-CB5104C6B1F9}"/>
            </a:ext>
          </a:extLst>
        </xdr:cNvPr>
        <xdr:cNvSpPr/>
      </xdr:nvSpPr>
      <xdr:spPr>
        <a:xfrm>
          <a:off x="8931408" y="3888565"/>
          <a:ext cx="1036320" cy="310055"/>
        </a:xfrm>
        <a:prstGeom prst="roundRect">
          <a:avLst>
            <a:gd name="adj" fmla="val 50000"/>
          </a:avLst>
        </a:prstGeom>
        <a:solidFill>
          <a:schemeClr val="accent3">
            <a:lumMod val="60000"/>
            <a:lumOff val="40000"/>
          </a:schemeClr>
        </a:solidFill>
        <a:ln>
          <a:solidFill>
            <a:schemeClr val="accent6">
              <a:lumMod val="60000"/>
              <a:lumOff val="4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accent1">
                  <a:lumMod val="75000"/>
                </a:schemeClr>
              </a:solidFill>
              <a:effectLst/>
            </a:rPr>
            <a:t>Low Priority</a:t>
          </a:r>
        </a:p>
      </xdr:txBody>
    </xdr:sp>
    <xdr:clientData/>
  </xdr:twoCellAnchor>
  <xdr:twoCellAnchor>
    <xdr:from>
      <xdr:col>14</xdr:col>
      <xdr:colOff>361303</xdr:colOff>
      <xdr:row>17</xdr:row>
      <xdr:rowOff>86337</xdr:rowOff>
    </xdr:from>
    <xdr:to>
      <xdr:col>16</xdr:col>
      <xdr:colOff>178423</xdr:colOff>
      <xdr:row>19</xdr:row>
      <xdr:rowOff>31541</xdr:rowOff>
    </xdr:to>
    <xdr:sp macro="" textlink="">
      <xdr:nvSpPr>
        <xdr:cNvPr id="36" name="Rectangle: Rounded Corners 35">
          <a:extLst>
            <a:ext uri="{FF2B5EF4-FFF2-40B4-BE49-F238E27FC236}">
              <a16:creationId xmlns:a16="http://schemas.microsoft.com/office/drawing/2014/main" id="{4301606F-8180-4ACC-911A-0BCF0BCB5811}"/>
            </a:ext>
          </a:extLst>
        </xdr:cNvPr>
        <xdr:cNvSpPr/>
      </xdr:nvSpPr>
      <xdr:spPr>
        <a:xfrm>
          <a:off x="8895703" y="3195297"/>
          <a:ext cx="1036320" cy="310964"/>
        </a:xfrm>
        <a:prstGeom prst="roundRect">
          <a:avLst>
            <a:gd name="adj" fmla="val 50000"/>
          </a:avLst>
        </a:prstGeom>
        <a:solidFill>
          <a:srgbClr val="FFC000"/>
        </a:solidFill>
        <a:ln>
          <a:solidFill>
            <a:srgbClr val="FFC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accent1">
                  <a:lumMod val="75000"/>
                </a:schemeClr>
              </a:solidFill>
              <a:effectLst/>
            </a:rPr>
            <a:t>Med Priority</a:t>
          </a:r>
        </a:p>
      </xdr:txBody>
    </xdr:sp>
    <xdr:clientData/>
  </xdr:twoCellAnchor>
  <xdr:oneCellAnchor>
    <xdr:from>
      <xdr:col>14</xdr:col>
      <xdr:colOff>443947</xdr:colOff>
      <xdr:row>8</xdr:row>
      <xdr:rowOff>48184</xdr:rowOff>
    </xdr:from>
    <xdr:ext cx="4196633" cy="593368"/>
    <xdr:sp macro="" textlink="">
      <xdr:nvSpPr>
        <xdr:cNvPr id="37" name="TextBox 36">
          <a:extLst>
            <a:ext uri="{FF2B5EF4-FFF2-40B4-BE49-F238E27FC236}">
              <a16:creationId xmlns:a16="http://schemas.microsoft.com/office/drawing/2014/main" id="{6A353584-E9E0-470A-B958-B59431D372CE}"/>
            </a:ext>
          </a:extLst>
        </xdr:cNvPr>
        <xdr:cNvSpPr txBox="1"/>
      </xdr:nvSpPr>
      <xdr:spPr>
        <a:xfrm>
          <a:off x="8957832" y="1513569"/>
          <a:ext cx="4196633"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r>
            <a:rPr lang="en-US" sz="1100" b="1">
              <a:solidFill>
                <a:schemeClr val="tx1"/>
              </a:solidFill>
              <a:effectLst/>
              <a:latin typeface="+mn-lt"/>
              <a:ea typeface="+mn-ea"/>
              <a:cs typeface="+mn-cs"/>
            </a:rPr>
            <a:t>Strengthen Compliance Controls</a:t>
          </a:r>
          <a:endParaRPr lang="en-US" sz="1200">
            <a:effectLst/>
          </a:endParaRPr>
        </a:p>
        <a:p>
          <a:pPr algn="r"/>
          <a:r>
            <a:rPr lang="en-US" sz="1000">
              <a:solidFill>
                <a:schemeClr val="tx1"/>
              </a:solidFill>
              <a:effectLst/>
              <a:latin typeface="+mn-lt"/>
              <a:ea typeface="+mn-ea"/>
              <a:cs typeface="+mn-cs"/>
            </a:rPr>
            <a:t>Investigate non-compliant purchase orders, identify</a:t>
          </a:r>
        </a:p>
        <a:p>
          <a:pPr algn="r"/>
          <a:r>
            <a:rPr lang="en-US" sz="1000">
              <a:solidFill>
                <a:schemeClr val="tx1"/>
              </a:solidFill>
              <a:effectLst/>
              <a:latin typeface="+mn-lt"/>
              <a:ea typeface="+mn-ea"/>
              <a:cs typeface="+mn-cs"/>
            </a:rPr>
            <a:t> recurring control</a:t>
          </a:r>
          <a:r>
            <a:rPr lang="en-US" sz="1000" baseline="0">
              <a:solidFill>
                <a:schemeClr val="tx1"/>
              </a:solidFill>
              <a:effectLst/>
              <a:latin typeface="+mn-lt"/>
              <a:ea typeface="+mn-ea"/>
              <a:cs typeface="+mn-cs"/>
            </a:rPr>
            <a:t> </a:t>
          </a:r>
          <a:r>
            <a:rPr lang="en-US" sz="1000">
              <a:solidFill>
                <a:schemeClr val="tx1"/>
              </a:solidFill>
              <a:effectLst/>
              <a:latin typeface="+mn-lt"/>
              <a:ea typeface="+mn-ea"/>
              <a:cs typeface="+mn-cs"/>
            </a:rPr>
            <a:t>gaps, and reinforce procurement verification</a:t>
          </a:r>
          <a:endParaRPr lang="en-US" sz="1050">
            <a:effectLst/>
          </a:endParaRPr>
        </a:p>
      </xdr:txBody>
    </xdr:sp>
    <xdr:clientData/>
  </xdr:oneCellAnchor>
  <xdr:oneCellAnchor>
    <xdr:from>
      <xdr:col>14</xdr:col>
      <xdr:colOff>404190</xdr:colOff>
      <xdr:row>12</xdr:row>
      <xdr:rowOff>85107</xdr:rowOff>
    </xdr:from>
    <xdr:ext cx="4196633" cy="577594"/>
    <xdr:sp macro="" textlink="">
      <xdr:nvSpPr>
        <xdr:cNvPr id="38" name="TextBox 37">
          <a:extLst>
            <a:ext uri="{FF2B5EF4-FFF2-40B4-BE49-F238E27FC236}">
              <a16:creationId xmlns:a16="http://schemas.microsoft.com/office/drawing/2014/main" id="{D4608ABD-BFB7-4DCD-AD75-9D903B651BE4}"/>
            </a:ext>
          </a:extLst>
        </xdr:cNvPr>
        <xdr:cNvSpPr txBox="1"/>
      </xdr:nvSpPr>
      <xdr:spPr>
        <a:xfrm>
          <a:off x="8938590" y="2279667"/>
          <a:ext cx="4196633" cy="5775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r>
            <a:rPr lang="en-US" sz="1100" b="1">
              <a:solidFill>
                <a:schemeClr val="tx1"/>
              </a:solidFill>
              <a:effectLst/>
              <a:latin typeface="+mn-lt"/>
              <a:ea typeface="+mn-ea"/>
              <a:cs typeface="+mn-cs"/>
            </a:rPr>
            <a:t>Improve Delivery Efficiency</a:t>
          </a:r>
          <a:endParaRPr lang="en-US">
            <a:effectLst/>
          </a:endParaRPr>
        </a:p>
        <a:p>
          <a:pPr algn="r"/>
          <a:r>
            <a:rPr lang="en-US" sz="1000">
              <a:solidFill>
                <a:schemeClr val="tx1"/>
              </a:solidFill>
              <a:effectLst/>
              <a:latin typeface="+mn-lt"/>
              <a:ea typeface="+mn-ea"/>
              <a:cs typeface="+mn-cs"/>
            </a:rPr>
            <a:t>Review suppliers with longer delivery lead times </a:t>
          </a:r>
        </a:p>
        <a:p>
          <a:pPr algn="r"/>
          <a:r>
            <a:rPr lang="en-US" sz="1000">
              <a:solidFill>
                <a:schemeClr val="tx1"/>
              </a:solidFill>
              <a:effectLst/>
              <a:latin typeface="+mn-lt"/>
              <a:ea typeface="+mn-ea"/>
              <a:cs typeface="+mn-cs"/>
            </a:rPr>
            <a:t>&amp; improve planning, coordination, and delivery performance</a:t>
          </a:r>
        </a:p>
      </xdr:txBody>
    </xdr:sp>
    <xdr:clientData/>
  </xdr:oneCellAnchor>
  <xdr:oneCellAnchor>
    <xdr:from>
      <xdr:col>14</xdr:col>
      <xdr:colOff>399169</xdr:colOff>
      <xdr:row>16</xdr:row>
      <xdr:rowOff>141533</xdr:rowOff>
    </xdr:from>
    <xdr:ext cx="4196633" cy="593368"/>
    <xdr:sp macro="" textlink="">
      <xdr:nvSpPr>
        <xdr:cNvPr id="39" name="TextBox 38">
          <a:extLst>
            <a:ext uri="{FF2B5EF4-FFF2-40B4-BE49-F238E27FC236}">
              <a16:creationId xmlns:a16="http://schemas.microsoft.com/office/drawing/2014/main" id="{E8E71B59-0110-4469-886A-FD64F1963F11}"/>
            </a:ext>
          </a:extLst>
        </xdr:cNvPr>
        <xdr:cNvSpPr txBox="1"/>
      </xdr:nvSpPr>
      <xdr:spPr>
        <a:xfrm>
          <a:off x="8933569" y="3067613"/>
          <a:ext cx="4196633"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r>
            <a:rPr lang="en-US" sz="1100" b="1">
              <a:solidFill>
                <a:schemeClr val="tx1"/>
              </a:solidFill>
              <a:effectLst/>
              <a:latin typeface="+mn-lt"/>
              <a:ea typeface="+mn-ea"/>
              <a:cs typeface="+mn-cs"/>
            </a:rPr>
            <a:t>Optimize Supplier Negotiations</a:t>
          </a:r>
        </a:p>
        <a:p>
          <a:pPr algn="r"/>
          <a:r>
            <a:rPr lang="en-US" sz="1000"/>
            <a:t>Prioritize negotiations based on total cost-saving potential </a:t>
          </a:r>
        </a:p>
        <a:p>
          <a:pPr algn="r"/>
          <a:r>
            <a:rPr lang="en-US" sz="1000"/>
            <a:t> consider supplier reliability, delivery performance, and quality</a:t>
          </a:r>
        </a:p>
      </xdr:txBody>
    </xdr:sp>
    <xdr:clientData/>
  </xdr:oneCellAnchor>
  <xdr:oneCellAnchor>
    <xdr:from>
      <xdr:col>14</xdr:col>
      <xdr:colOff>419775</xdr:colOff>
      <xdr:row>20</xdr:row>
      <xdr:rowOff>126055</xdr:rowOff>
    </xdr:from>
    <xdr:ext cx="4196633" cy="577594"/>
    <xdr:sp macro="" textlink="">
      <xdr:nvSpPr>
        <xdr:cNvPr id="40" name="TextBox 39">
          <a:extLst>
            <a:ext uri="{FF2B5EF4-FFF2-40B4-BE49-F238E27FC236}">
              <a16:creationId xmlns:a16="http://schemas.microsoft.com/office/drawing/2014/main" id="{B9F11ABC-E5FE-4840-8F8F-C8D3E99611D1}"/>
            </a:ext>
          </a:extLst>
        </xdr:cNvPr>
        <xdr:cNvSpPr txBox="1"/>
      </xdr:nvSpPr>
      <xdr:spPr>
        <a:xfrm>
          <a:off x="8954175" y="3783655"/>
          <a:ext cx="4196633" cy="5775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r"/>
          <a:r>
            <a:rPr lang="en-US" sz="1100" b="1">
              <a:solidFill>
                <a:schemeClr val="tx1"/>
              </a:solidFill>
              <a:effectLst/>
              <a:latin typeface="+mn-lt"/>
              <a:ea typeface="+mn-ea"/>
              <a:cs typeface="+mn-cs"/>
            </a:rPr>
            <a:t>Optimize Sourcing Strategy</a:t>
          </a:r>
        </a:p>
        <a:p>
          <a:pPr marL="0" indent="0" algn="r"/>
          <a:r>
            <a:rPr lang="en-US" sz="1000">
              <a:solidFill>
                <a:schemeClr val="tx1"/>
              </a:solidFill>
              <a:latin typeface="+mn-lt"/>
              <a:ea typeface="+mn-ea"/>
              <a:cs typeface="+mn-cs"/>
            </a:rPr>
            <a:t>Monitor purchasing concentration &amp; evaluate alternative</a:t>
          </a:r>
        </a:p>
        <a:p>
          <a:pPr marL="0" indent="0" algn="r"/>
          <a:r>
            <a:rPr lang="en-US" sz="1000">
              <a:solidFill>
                <a:schemeClr val="tx1"/>
              </a:solidFill>
              <a:latin typeface="+mn-lt"/>
              <a:ea typeface="+mn-ea"/>
              <a:cs typeface="+mn-cs"/>
            </a:rPr>
            <a:t> sourcing options where appropriate to reduce dependency risk.</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77055</xdr:colOff>
      <xdr:row>47</xdr:row>
      <xdr:rowOff>152273</xdr:rowOff>
    </xdr:from>
    <xdr:to>
      <xdr:col>2</xdr:col>
      <xdr:colOff>121234</xdr:colOff>
      <xdr:row>57</xdr:row>
      <xdr:rowOff>34247</xdr:rowOff>
    </xdr:to>
    <xdr:graphicFrame macro="">
      <xdr:nvGraphicFramePr>
        <xdr:cNvPr id="2" name="Chart 1">
          <a:extLst>
            <a:ext uri="{FF2B5EF4-FFF2-40B4-BE49-F238E27FC236}">
              <a16:creationId xmlns:a16="http://schemas.microsoft.com/office/drawing/2014/main" id="{668201CB-A653-4162-CD2A-52672B47EA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260936</xdr:colOff>
      <xdr:row>12</xdr:row>
      <xdr:rowOff>34247</xdr:rowOff>
    </xdr:from>
    <xdr:to>
      <xdr:col>9</xdr:col>
      <xdr:colOff>386309</xdr:colOff>
      <xdr:row>23</xdr:row>
      <xdr:rowOff>133636</xdr:rowOff>
    </xdr:to>
    <xdr:graphicFrame macro="">
      <xdr:nvGraphicFramePr>
        <xdr:cNvPr id="4" name="Chart 3">
          <a:extLst>
            <a:ext uri="{FF2B5EF4-FFF2-40B4-BE49-F238E27FC236}">
              <a16:creationId xmlns:a16="http://schemas.microsoft.com/office/drawing/2014/main" id="{49F9A0C3-8AB9-190F-0B10-CB033A973C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909320</xdr:colOff>
      <xdr:row>24</xdr:row>
      <xdr:rowOff>39370</xdr:rowOff>
    </xdr:from>
    <xdr:to>
      <xdr:col>15</xdr:col>
      <xdr:colOff>0</xdr:colOff>
      <xdr:row>37</xdr:row>
      <xdr:rowOff>40640</xdr:rowOff>
    </xdr:to>
    <xdr:graphicFrame macro="">
      <xdr:nvGraphicFramePr>
        <xdr:cNvPr id="5" name="Chart 4">
          <a:extLst>
            <a:ext uri="{FF2B5EF4-FFF2-40B4-BE49-F238E27FC236}">
              <a16:creationId xmlns:a16="http://schemas.microsoft.com/office/drawing/2014/main" id="{8C39508E-E7A9-9CC4-788B-6BA12770CF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491633</xdr:colOff>
      <xdr:row>9</xdr:row>
      <xdr:rowOff>128426</xdr:rowOff>
    </xdr:from>
    <xdr:to>
      <xdr:col>16</xdr:col>
      <xdr:colOff>1712360</xdr:colOff>
      <xdr:row>20</xdr:row>
      <xdr:rowOff>83863</xdr:rowOff>
    </xdr:to>
    <xdr:graphicFrame macro="">
      <xdr:nvGraphicFramePr>
        <xdr:cNvPr id="6" name="Chart 5">
          <a:extLst>
            <a:ext uri="{FF2B5EF4-FFF2-40B4-BE49-F238E27FC236}">
              <a16:creationId xmlns:a16="http://schemas.microsoft.com/office/drawing/2014/main" id="{2126B849-D778-3CD8-C516-6B0AE539D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339603</xdr:colOff>
      <xdr:row>10</xdr:row>
      <xdr:rowOff>50800</xdr:rowOff>
    </xdr:from>
    <xdr:to>
      <xdr:col>20</xdr:col>
      <xdr:colOff>345441</xdr:colOff>
      <xdr:row>22</xdr:row>
      <xdr:rowOff>51129</xdr:rowOff>
    </xdr:to>
    <xdr:graphicFrame macro="">
      <xdr:nvGraphicFramePr>
        <xdr:cNvPr id="7" name="Chart 6">
          <a:extLst>
            <a:ext uri="{FF2B5EF4-FFF2-40B4-BE49-F238E27FC236}">
              <a16:creationId xmlns:a16="http://schemas.microsoft.com/office/drawing/2014/main" id="{19BEA3E4-88C3-DA2B-98EB-CBA50468B9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101600</xdr:colOff>
      <xdr:row>11</xdr:row>
      <xdr:rowOff>60960</xdr:rowOff>
    </xdr:from>
    <xdr:to>
      <xdr:col>27</xdr:col>
      <xdr:colOff>84427</xdr:colOff>
      <xdr:row>23</xdr:row>
      <xdr:rowOff>5798</xdr:rowOff>
    </xdr:to>
    <xdr:graphicFrame macro="">
      <xdr:nvGraphicFramePr>
        <xdr:cNvPr id="8" name="Chart 7">
          <a:extLst>
            <a:ext uri="{FF2B5EF4-FFF2-40B4-BE49-F238E27FC236}">
              <a16:creationId xmlns:a16="http://schemas.microsoft.com/office/drawing/2014/main" id="{192D6794-BBCC-2E48-C160-1E8D7DC596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91440</xdr:colOff>
      <xdr:row>10</xdr:row>
      <xdr:rowOff>18011</xdr:rowOff>
    </xdr:from>
    <xdr:to>
      <xdr:col>32</xdr:col>
      <xdr:colOff>149168</xdr:colOff>
      <xdr:row>21</xdr:row>
      <xdr:rowOff>50800</xdr:rowOff>
    </xdr:to>
    <xdr:graphicFrame macro="">
      <xdr:nvGraphicFramePr>
        <xdr:cNvPr id="9" name="Chart 8">
          <a:extLst>
            <a:ext uri="{FF2B5EF4-FFF2-40B4-BE49-F238E27FC236}">
              <a16:creationId xmlns:a16="http://schemas.microsoft.com/office/drawing/2014/main" id="{C5250378-0C37-9A9D-9E54-3C8C14CE4D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262620</xdr:colOff>
      <xdr:row>11</xdr:row>
      <xdr:rowOff>137160</xdr:rowOff>
    </xdr:from>
    <xdr:to>
      <xdr:col>5</xdr:col>
      <xdr:colOff>196921</xdr:colOff>
      <xdr:row>21</xdr:row>
      <xdr:rowOff>119865</xdr:rowOff>
    </xdr:to>
    <mc:AlternateContent xmlns:mc="http://schemas.openxmlformats.org/markup-compatibility/2006">
      <mc:Choice xmlns:a14="http://schemas.microsoft.com/office/drawing/2010/main" Requires="a14">
        <xdr:graphicFrame macro="">
          <xdr:nvGraphicFramePr>
            <xdr:cNvPr id="10" name="Item_Category">
              <a:extLst>
                <a:ext uri="{FF2B5EF4-FFF2-40B4-BE49-F238E27FC236}">
                  <a16:creationId xmlns:a16="http://schemas.microsoft.com/office/drawing/2014/main" id="{2952C99C-84BC-AAC8-EF57-222276B087D3}"/>
                </a:ext>
              </a:extLst>
            </xdr:cNvPr>
            <xdr:cNvGraphicFramePr/>
          </xdr:nvGraphicFramePr>
          <xdr:xfrm>
            <a:off x="0" y="0"/>
            <a:ext cx="0" cy="0"/>
          </xdr:xfrm>
          <a:graphic>
            <a:graphicData uri="http://schemas.microsoft.com/office/drawing/2010/slicer">
              <sle:slicer xmlns:sle="http://schemas.microsoft.com/office/drawing/2010/slicer" name="Item_Category"/>
            </a:graphicData>
          </a:graphic>
        </xdr:graphicFrame>
      </mc:Choice>
      <mc:Fallback>
        <xdr:sp macro="" textlink="">
          <xdr:nvSpPr>
            <xdr:cNvPr id="0" name=""/>
            <xdr:cNvSpPr>
              <a:spLocks noTextEdit="1"/>
            </xdr:cNvSpPr>
          </xdr:nvSpPr>
          <xdr:spPr>
            <a:xfrm>
              <a:off x="3757660" y="2148840"/>
              <a:ext cx="1813901" cy="18115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25685</xdr:colOff>
      <xdr:row>57</xdr:row>
      <xdr:rowOff>17124</xdr:rowOff>
    </xdr:from>
    <xdr:to>
      <xdr:col>2</xdr:col>
      <xdr:colOff>114100</xdr:colOff>
      <xdr:row>66</xdr:row>
      <xdr:rowOff>35732</xdr:rowOff>
    </xdr:to>
    <xdr:graphicFrame macro="">
      <xdr:nvGraphicFramePr>
        <xdr:cNvPr id="11" name="Chart 10">
          <a:extLst>
            <a:ext uri="{FF2B5EF4-FFF2-40B4-BE49-F238E27FC236}">
              <a16:creationId xmlns:a16="http://schemas.microsoft.com/office/drawing/2014/main" id="{65B02DE1-D095-3AA7-B1F6-E69F0F5171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796276</xdr:colOff>
      <xdr:row>25</xdr:row>
      <xdr:rowOff>180910</xdr:rowOff>
    </xdr:from>
    <xdr:to>
      <xdr:col>6</xdr:col>
      <xdr:colOff>802155</xdr:colOff>
      <xdr:row>33</xdr:row>
      <xdr:rowOff>92553</xdr:rowOff>
    </xdr:to>
    <mc:AlternateContent xmlns:mc="http://schemas.openxmlformats.org/markup-compatibility/2006">
      <mc:Choice xmlns:tsle="http://schemas.microsoft.com/office/drawing/2012/timeslicer" Requires="tsle">
        <xdr:graphicFrame macro="">
          <xdr:nvGraphicFramePr>
            <xdr:cNvPr id="12" name="Order_Date">
              <a:extLst>
                <a:ext uri="{FF2B5EF4-FFF2-40B4-BE49-F238E27FC236}">
                  <a16:creationId xmlns:a16="http://schemas.microsoft.com/office/drawing/2014/main" id="{04B60BCA-0F7B-F836-E116-FA932AE717B7}"/>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3437876" y="4752910"/>
              <a:ext cx="3348519" cy="137468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ra kashmery" refreshedDate="46316.721417939814" createdVersion="8" refreshedVersion="8" minRefreshableVersion="3" recordCount="777" xr:uid="{1B61BA40-98BD-4C6B-9BE3-7D0AA33B039B}">
  <cacheSource type="worksheet">
    <worksheetSource ref="A1:O778" sheet="Procurement KPI Analysis Datase"/>
  </cacheSource>
  <cacheFields count="18">
    <cacheField name="PO_ID" numFmtId="0">
      <sharedItems/>
    </cacheField>
    <cacheField name="Supplier" numFmtId="0">
      <sharedItems count="5">
        <s v="Alpha_Inc"/>
        <s v="Delta_Logistics"/>
        <s v="Gamma_Co"/>
        <s v="Beta_Supplies"/>
        <s v="Epsilon_Group"/>
      </sharedItems>
    </cacheField>
    <cacheField name="Order_Date" numFmtId="14">
      <sharedItems containsSemiMixedTypes="0" containsNonDate="0" containsDate="1" containsString="0" minDate="2022-01-01T00:00:00" maxDate="2024-01-02T00:00:00" count="476">
        <d v="2023-10-17T00:00:00"/>
        <d v="2022-04-25T00:00:00"/>
        <d v="2022-01-26T00:00:00"/>
        <d v="2022-10-09T00:00:00"/>
        <d v="2022-09-08T00:00:00"/>
        <d v="2022-08-17T00:00:00"/>
        <d v="2022-05-23T00:00:00"/>
        <d v="2022-04-15T00:00:00"/>
        <d v="2023-11-24T00:00:00"/>
        <d v="2023-07-13T00:00:00"/>
        <d v="2022-03-31T00:00:00"/>
        <d v="2023-08-28T00:00:00"/>
        <d v="2023-03-09T00:00:00"/>
        <d v="2022-02-02T00:00:00"/>
        <d v="2022-01-31T00:00:00"/>
        <d v="2022-04-06T00:00:00"/>
        <d v="2022-08-12T00:00:00"/>
        <d v="2022-08-27T00:00:00"/>
        <d v="2023-06-02T00:00:00"/>
        <d v="2023-09-09T00:00:00"/>
        <d v="2022-01-28T00:00:00"/>
        <d v="2023-07-29T00:00:00"/>
        <d v="2022-07-23T00:00:00"/>
        <d v="2023-10-28T00:00:00"/>
        <d v="2023-12-20T00:00:00"/>
        <d v="2023-03-06T00:00:00"/>
        <d v="2022-08-14T00:00:00"/>
        <d v="2023-04-05T00:00:00"/>
        <d v="2023-08-27T00:00:00"/>
        <d v="2022-10-12T00:00:00"/>
        <d v="2022-01-07T00:00:00"/>
        <d v="2022-06-13T00:00:00"/>
        <d v="2023-12-16T00:00:00"/>
        <d v="2022-12-15T00:00:00"/>
        <d v="2022-06-09T00:00:00"/>
        <d v="2022-08-09T00:00:00"/>
        <d v="2022-12-11T00:00:00"/>
        <d v="2022-04-05T00:00:00"/>
        <d v="2023-01-25T00:00:00"/>
        <d v="2022-04-10T00:00:00"/>
        <d v="2023-01-03T00:00:00"/>
        <d v="2022-12-19T00:00:00"/>
        <d v="2023-09-11T00:00:00"/>
        <d v="2022-09-28T00:00:00"/>
        <d v="2022-02-14T00:00:00"/>
        <d v="2023-04-16T00:00:00"/>
        <d v="2023-07-04T00:00:00"/>
        <d v="2022-05-08T00:00:00"/>
        <d v="2023-01-23T00:00:00"/>
        <d v="2022-03-22T00:00:00"/>
        <d v="2023-07-20T00:00:00"/>
        <d v="2022-10-28T00:00:00"/>
        <d v="2023-10-06T00:00:00"/>
        <d v="2023-09-26T00:00:00"/>
        <d v="2023-01-06T00:00:00"/>
        <d v="2023-08-15T00:00:00"/>
        <d v="2022-07-16T00:00:00"/>
        <d v="2023-12-23T00:00:00"/>
        <d v="2022-03-13T00:00:00"/>
        <d v="2022-02-16T00:00:00"/>
        <d v="2023-11-09T00:00:00"/>
        <d v="2022-08-22T00:00:00"/>
        <d v="2022-10-24T00:00:00"/>
        <d v="2022-03-23T00:00:00"/>
        <d v="2022-04-14T00:00:00"/>
        <d v="2023-04-10T00:00:00"/>
        <d v="2023-10-13T00:00:00"/>
        <d v="2023-01-09T00:00:00"/>
        <d v="2022-06-16T00:00:00"/>
        <d v="2023-01-15T00:00:00"/>
        <d v="2022-12-30T00:00:00"/>
        <d v="2022-08-03T00:00:00"/>
        <d v="2023-11-18T00:00:00"/>
        <d v="2022-10-01T00:00:00"/>
        <d v="2023-12-01T00:00:00"/>
        <d v="2023-10-26T00:00:00"/>
        <d v="2022-03-15T00:00:00"/>
        <d v="2023-09-16T00:00:00"/>
        <d v="2022-06-25T00:00:00"/>
        <d v="2023-07-01T00:00:00"/>
        <d v="2022-06-17T00:00:00"/>
        <d v="2023-04-19T00:00:00"/>
        <d v="2023-01-24T00:00:00"/>
        <d v="2022-10-04T00:00:00"/>
        <d v="2023-10-18T00:00:00"/>
        <d v="2023-12-06T00:00:00"/>
        <d v="2023-07-25T00:00:00"/>
        <d v="2022-08-13T00:00:00"/>
        <d v="2023-12-03T00:00:00"/>
        <d v="2022-11-29T00:00:00"/>
        <d v="2022-02-27T00:00:00"/>
        <d v="2022-08-23T00:00:00"/>
        <d v="2022-11-20T00:00:00"/>
        <d v="2023-02-15T00:00:00"/>
        <d v="2022-10-02T00:00:00"/>
        <d v="2022-03-09T00:00:00"/>
        <d v="2022-08-05T00:00:00"/>
        <d v="2023-08-04T00:00:00"/>
        <d v="2022-11-19T00:00:00"/>
        <d v="2022-08-06T00:00:00"/>
        <d v="2023-11-03T00:00:00"/>
        <d v="2023-05-27T00:00:00"/>
        <d v="2023-02-10T00:00:00"/>
        <d v="2023-10-21T00:00:00"/>
        <d v="2023-04-15T00:00:00"/>
        <d v="2022-05-27T00:00:00"/>
        <d v="2022-09-29T00:00:00"/>
        <d v="2022-09-10T00:00:00"/>
        <d v="2023-07-06T00:00:00"/>
        <d v="2022-09-27T00:00:00"/>
        <d v="2023-08-22T00:00:00"/>
        <d v="2023-03-15T00:00:00"/>
        <d v="2023-08-21T00:00:00"/>
        <d v="2023-02-13T00:00:00"/>
        <d v="2022-05-22T00:00:00"/>
        <d v="2023-06-06T00:00:00"/>
        <d v="2023-05-21T00:00:00"/>
        <d v="2022-04-04T00:00:00"/>
        <d v="2022-02-18T00:00:00"/>
        <d v="2022-04-23T00:00:00"/>
        <d v="2022-06-06T00:00:00"/>
        <d v="2023-10-05T00:00:00"/>
        <d v="2023-11-28T00:00:00"/>
        <d v="2023-09-03T00:00:00"/>
        <d v="2022-03-07T00:00:00"/>
        <d v="2023-01-30T00:00:00"/>
        <d v="2023-01-26T00:00:00"/>
        <d v="2023-04-25T00:00:00"/>
        <d v="2023-06-26T00:00:00"/>
        <d v="2022-09-15T00:00:00"/>
        <d v="2023-07-21T00:00:00"/>
        <d v="2022-01-12T00:00:00"/>
        <d v="2022-04-28T00:00:00"/>
        <d v="2023-11-30T00:00:00"/>
        <d v="2023-10-19T00:00:00"/>
        <d v="2023-03-22T00:00:00"/>
        <d v="2022-06-11T00:00:00"/>
        <d v="2022-01-04T00:00:00"/>
        <d v="2023-05-28T00:00:00"/>
        <d v="2022-07-02T00:00:00"/>
        <d v="2023-06-04T00:00:00"/>
        <d v="2022-04-19T00:00:00"/>
        <d v="2023-10-03T00:00:00"/>
        <d v="2022-11-02T00:00:00"/>
        <d v="2023-01-18T00:00:00"/>
        <d v="2022-06-15T00:00:00"/>
        <d v="2023-07-07T00:00:00"/>
        <d v="2023-06-28T00:00:00"/>
        <d v="2022-01-01T00:00:00"/>
        <d v="2023-09-06T00:00:00"/>
        <d v="2022-11-28T00:00:00"/>
        <d v="2023-05-16T00:00:00"/>
        <d v="2022-01-20T00:00:00"/>
        <d v="2023-01-07T00:00:00"/>
        <d v="2022-11-11T00:00:00"/>
        <d v="2022-09-03T00:00:00"/>
        <d v="2022-03-01T00:00:00"/>
        <d v="2022-09-04T00:00:00"/>
        <d v="2022-03-29T00:00:00"/>
        <d v="2023-05-13T00:00:00"/>
        <d v="2022-03-12T00:00:00"/>
        <d v="2023-06-30T00:00:00"/>
        <d v="2022-05-09T00:00:00"/>
        <d v="2022-05-12T00:00:00"/>
        <d v="2023-11-07T00:00:00"/>
        <d v="2023-05-02T00:00:00"/>
        <d v="2023-07-17T00:00:00"/>
        <d v="2022-06-19T00:00:00"/>
        <d v="2023-06-25T00:00:00"/>
        <d v="2023-09-14T00:00:00"/>
        <d v="2023-03-10T00:00:00"/>
        <d v="2023-12-08T00:00:00"/>
        <d v="2022-07-25T00:00:00"/>
        <d v="2024-01-01T00:00:00"/>
        <d v="2022-11-16T00:00:00"/>
        <d v="2023-11-19T00:00:00"/>
        <d v="2023-03-25T00:00:00"/>
        <d v="2023-06-14T00:00:00"/>
        <d v="2023-04-08T00:00:00"/>
        <d v="2022-05-04T00:00:00"/>
        <d v="2022-09-11T00:00:00"/>
        <d v="2022-08-19T00:00:00"/>
        <d v="2022-12-13T00:00:00"/>
        <d v="2022-01-22T00:00:00"/>
        <d v="2023-08-26T00:00:00"/>
        <d v="2023-07-22T00:00:00"/>
        <d v="2022-08-24T00:00:00"/>
        <d v="2022-01-08T00:00:00"/>
        <d v="2022-03-14T00:00:00"/>
        <d v="2023-12-26T00:00:00"/>
        <d v="2023-10-09T00:00:00"/>
        <d v="2022-03-02T00:00:00"/>
        <d v="2022-03-11T00:00:00"/>
        <d v="2022-12-05T00:00:00"/>
        <d v="2023-06-11T00:00:00"/>
        <d v="2022-09-01T00:00:00"/>
        <d v="2022-10-13T00:00:00"/>
        <d v="2023-11-17T00:00:00"/>
        <d v="2022-08-08T00:00:00"/>
        <d v="2022-05-16T00:00:00"/>
        <d v="2023-08-08T00:00:00"/>
        <d v="2023-08-14T00:00:00"/>
        <d v="2023-04-30T00:00:00"/>
        <d v="2022-09-06T00:00:00"/>
        <d v="2023-02-21T00:00:00"/>
        <d v="2022-07-14T00:00:00"/>
        <d v="2022-04-07T00:00:00"/>
        <d v="2023-11-06T00:00:00"/>
        <d v="2023-03-18T00:00:00"/>
        <d v="2022-12-29T00:00:00"/>
        <d v="2023-02-25T00:00:00"/>
        <d v="2023-04-24T00:00:00"/>
        <d v="2022-02-25T00:00:00"/>
        <d v="2023-11-21T00:00:00"/>
        <d v="2023-11-01T00:00:00"/>
        <d v="2023-10-24T00:00:00"/>
        <d v="2022-04-11T00:00:00"/>
        <d v="2022-03-04T00:00:00"/>
        <d v="2023-02-17T00:00:00"/>
        <d v="2022-12-14T00:00:00"/>
        <d v="2022-04-22T00:00:00"/>
        <d v="2022-09-12T00:00:00"/>
        <d v="2022-05-24T00:00:00"/>
        <d v="2022-07-07T00:00:00"/>
        <d v="2022-09-13T00:00:00"/>
        <d v="2022-03-19T00:00:00"/>
        <d v="2023-03-30T00:00:00"/>
        <d v="2023-07-18T00:00:00"/>
        <d v="2022-02-21T00:00:00"/>
        <d v="2023-10-30T00:00:00"/>
        <d v="2023-07-08T00:00:00"/>
        <d v="2022-01-16T00:00:00"/>
        <d v="2022-08-31T00:00:00"/>
        <d v="2022-06-20T00:00:00"/>
        <d v="2023-05-08T00:00:00"/>
        <d v="2022-08-07T00:00:00"/>
        <d v="2022-06-18T00:00:00"/>
        <d v="2022-01-03T00:00:00"/>
        <d v="2023-02-04T00:00:00"/>
        <d v="2023-04-11T00:00:00"/>
        <d v="2022-10-20T00:00:00"/>
        <d v="2023-12-15T00:00:00"/>
        <d v="2023-07-24T00:00:00"/>
        <d v="2023-05-14T00:00:00"/>
        <d v="2022-06-08T00:00:00"/>
        <d v="2022-10-31T00:00:00"/>
        <d v="2022-08-11T00:00:00"/>
        <d v="2023-08-17T00:00:00"/>
        <d v="2023-07-10T00:00:00"/>
        <d v="2022-11-18T00:00:00"/>
        <d v="2022-02-28T00:00:00"/>
        <d v="2023-05-04T00:00:00"/>
        <d v="2023-05-30T00:00:00"/>
        <d v="2023-06-05T00:00:00"/>
        <d v="2022-03-24T00:00:00"/>
        <d v="2022-07-10T00:00:00"/>
        <d v="2023-09-02T00:00:00"/>
        <d v="2023-11-23T00:00:00"/>
        <d v="2022-08-29T00:00:00"/>
        <d v="2023-02-18T00:00:00"/>
        <d v="2022-05-03T00:00:00"/>
        <d v="2023-08-07T00:00:00"/>
        <d v="2023-08-16T00:00:00"/>
        <d v="2023-09-01T00:00:00"/>
        <d v="2022-02-10T00:00:00"/>
        <d v="2023-09-27T00:00:00"/>
        <d v="2022-03-25T00:00:00"/>
        <d v="2023-11-05T00:00:00"/>
        <d v="2023-08-02T00:00:00"/>
        <d v="2023-06-20T00:00:00"/>
        <d v="2022-09-25T00:00:00"/>
        <d v="2022-07-29T00:00:00"/>
        <d v="2022-09-02T00:00:00"/>
        <d v="2022-05-15T00:00:00"/>
        <d v="2023-10-23T00:00:00"/>
        <d v="2022-11-04T00:00:00"/>
        <d v="2023-04-14T00:00:00"/>
        <d v="2022-03-16T00:00:00"/>
        <d v="2022-01-10T00:00:00"/>
        <d v="2023-09-29T00:00:00"/>
        <d v="2023-07-31T00:00:00"/>
        <d v="2022-04-13T00:00:00"/>
        <d v="2022-03-17T00:00:00"/>
        <d v="2023-07-05T00:00:00"/>
        <d v="2023-06-03T00:00:00"/>
        <d v="2022-12-24T00:00:00"/>
        <d v="2023-01-14T00:00:00"/>
        <d v="2022-10-19T00:00:00"/>
        <d v="2023-07-11T00:00:00"/>
        <d v="2023-12-22T00:00:00"/>
        <d v="2022-11-06T00:00:00"/>
        <d v="2023-09-19T00:00:00"/>
        <d v="2022-01-09T00:00:00"/>
        <d v="2023-11-15T00:00:00"/>
        <d v="2022-11-03T00:00:00"/>
        <d v="2023-11-11T00:00:00"/>
        <d v="2022-04-17T00:00:00"/>
        <d v="2022-05-18T00:00:00"/>
        <d v="2022-04-29T00:00:00"/>
        <d v="2022-04-20T00:00:00"/>
        <d v="2022-10-06T00:00:00"/>
        <d v="2022-10-16T00:00:00"/>
        <d v="2023-09-12T00:00:00"/>
        <d v="2022-08-04T00:00:00"/>
        <d v="2022-12-18T00:00:00"/>
        <d v="2022-07-28T00:00:00"/>
        <d v="2023-12-05T00:00:00"/>
        <d v="2023-10-12T00:00:00"/>
        <d v="2022-02-22T00:00:00"/>
        <d v="2022-10-11T00:00:00"/>
        <d v="2022-02-15T00:00:00"/>
        <d v="2022-12-08T00:00:00"/>
        <d v="2022-05-14T00:00:00"/>
        <d v="2023-10-15T00:00:00"/>
        <d v="2022-09-26T00:00:00"/>
        <d v="2023-03-29T00:00:00"/>
        <d v="2023-07-19T00:00:00"/>
        <d v="2023-12-24T00:00:00"/>
        <d v="2023-03-14T00:00:00"/>
        <d v="2023-12-09T00:00:00"/>
        <d v="2022-06-02T00:00:00"/>
        <d v="2022-02-06T00:00:00"/>
        <d v="2023-08-20T00:00:00"/>
        <d v="2022-06-01T00:00:00"/>
        <d v="2023-03-17T00:00:00"/>
        <d v="2022-05-11T00:00:00"/>
        <d v="2022-02-12T00:00:00"/>
        <d v="2022-11-12T00:00:00"/>
        <d v="2023-01-02T00:00:00"/>
        <d v="2023-11-14T00:00:00"/>
        <d v="2022-04-16T00:00:00"/>
        <d v="2023-07-28T00:00:00"/>
        <d v="2023-09-28T00:00:00"/>
        <d v="2022-07-01T00:00:00"/>
        <d v="2023-02-27T00:00:00"/>
        <d v="2022-07-03T00:00:00"/>
        <d v="2022-12-07T00:00:00"/>
        <d v="2023-02-26T00:00:00"/>
        <d v="2022-04-21T00:00:00"/>
        <d v="2023-01-27T00:00:00"/>
        <d v="2022-02-09T00:00:00"/>
        <d v="2023-04-27T00:00:00"/>
        <d v="2022-08-16T00:00:00"/>
        <d v="2022-07-24T00:00:00"/>
        <d v="2023-04-17T00:00:00"/>
        <d v="2022-12-25T00:00:00"/>
        <d v="2022-11-09T00:00:00"/>
        <d v="2022-01-25T00:00:00"/>
        <d v="2022-07-17T00:00:00"/>
        <d v="2022-12-03T00:00:00"/>
        <d v="2022-12-26T00:00:00"/>
        <d v="2023-02-14T00:00:00"/>
        <d v="2023-11-27T00:00:00"/>
        <d v="2022-12-06T00:00:00"/>
        <d v="2022-01-29T00:00:00"/>
        <d v="2023-08-18T00:00:00"/>
        <d v="2023-03-21T00:00:00"/>
        <d v="2022-12-20T00:00:00"/>
        <d v="2023-03-23T00:00:00"/>
        <d v="2023-09-13T00:00:00"/>
        <d v="2023-06-08T00:00:00"/>
        <d v="2022-09-18T00:00:00"/>
        <d v="2023-12-27T00:00:00"/>
        <d v="2022-01-02T00:00:00"/>
        <d v="2023-06-17T00:00:00"/>
        <d v="2022-07-21T00:00:00"/>
        <d v="2023-01-08T00:00:00"/>
        <d v="2023-11-12T00:00:00"/>
        <d v="2023-10-01T00:00:00"/>
        <d v="2022-11-13T00:00:00"/>
        <d v="2023-02-23T00:00:00"/>
        <d v="2022-12-01T00:00:00"/>
        <d v="2022-10-30T00:00:00"/>
        <d v="2023-03-07T00:00:00"/>
        <d v="2023-11-25T00:00:00"/>
        <d v="2022-06-28T00:00:00"/>
        <d v="2023-09-23T00:00:00"/>
        <d v="2023-08-06T00:00:00"/>
        <d v="2022-11-05T00:00:00"/>
        <d v="2023-02-20T00:00:00"/>
        <d v="2023-07-16T00:00:00"/>
        <d v="2022-11-08T00:00:00"/>
        <d v="2022-10-21T00:00:00"/>
        <d v="2023-11-02T00:00:00"/>
        <d v="2022-11-26T00:00:00"/>
        <d v="2023-04-22T00:00:00"/>
        <d v="2022-06-23T00:00:00"/>
        <d v="2022-03-28T00:00:00"/>
        <d v="2022-10-18T00:00:00"/>
        <d v="2023-06-12T00:00:00"/>
        <d v="2023-10-11T00:00:00"/>
        <d v="2022-12-10T00:00:00"/>
        <d v="2023-11-20T00:00:00"/>
        <d v="2022-11-14T00:00:00"/>
        <d v="2022-05-31T00:00:00"/>
        <d v="2022-02-17T00:00:00"/>
        <d v="2023-09-18T00:00:00"/>
        <d v="2023-04-12T00:00:00"/>
        <d v="2023-03-01T00:00:00"/>
        <d v="2023-10-07T00:00:00"/>
        <d v="2023-08-13T00:00:00"/>
        <d v="2022-07-19T00:00:00"/>
        <d v="2023-01-29T00:00:00"/>
        <d v="2023-05-22T00:00:00"/>
        <d v="2022-09-07T00:00:00"/>
        <d v="2022-01-06T00:00:00"/>
        <d v="2023-03-12T00:00:00"/>
        <d v="2022-06-30T00:00:00"/>
        <d v="2023-12-14T00:00:00"/>
        <d v="2023-06-15T00:00:00"/>
        <d v="2023-04-21T00:00:00"/>
        <d v="2022-05-05T00:00:00"/>
        <d v="2023-04-13T00:00:00"/>
        <d v="2022-05-17T00:00:00"/>
        <d v="2023-07-27T00:00:00"/>
        <d v="2022-11-21T00:00:00"/>
        <d v="2023-09-20T00:00:00"/>
        <d v="2023-06-01T00:00:00"/>
        <d v="2023-03-13T00:00:00"/>
        <d v="2023-04-02T00:00:00"/>
        <d v="2022-06-12T00:00:00"/>
        <d v="2023-04-06T00:00:00"/>
        <d v="2022-09-23T00:00:00"/>
        <d v="2023-06-18T00:00:00"/>
        <d v="2023-05-12T00:00:00"/>
        <d v="2023-10-04T00:00:00"/>
        <d v="2023-03-27T00:00:00"/>
        <d v="2022-03-21T00:00:00"/>
        <d v="2022-11-24T00:00:00"/>
        <d v="2022-06-04T00:00:00"/>
        <d v="2022-08-25T00:00:00"/>
        <d v="2023-01-28T00:00:00"/>
        <d v="2023-12-12T00:00:00"/>
        <d v="2023-12-25T00:00:00"/>
        <d v="2023-02-22T00:00:00"/>
        <d v="2023-04-23T00:00:00"/>
        <d v="2023-03-02T00:00:00"/>
        <d v="2022-03-05T00:00:00"/>
        <d v="2022-07-31T00:00:00"/>
        <d v="2023-02-03T00:00:00"/>
        <d v="2022-01-21T00:00:00"/>
        <d v="2022-12-27T00:00:00"/>
        <d v="2023-07-14T00:00:00"/>
        <d v="2023-09-10T00:00:00"/>
        <d v="2023-05-15T00:00:00"/>
        <d v="2022-10-07T00:00:00"/>
        <d v="2022-01-30T00:00:00"/>
        <d v="2023-11-16T00:00:00"/>
        <d v="2023-02-19T00:00:00"/>
        <d v="2023-09-30T00:00:00"/>
        <d v="2023-02-08T00:00:00"/>
        <d v="2023-08-30T00:00:00"/>
        <d v="2023-08-01T00:00:00"/>
        <d v="2023-11-10T00:00:00"/>
        <d v="2022-03-27T00:00:00"/>
        <d v="2022-05-19T00:00:00"/>
        <d v="2023-04-18T00:00:00"/>
        <d v="2022-07-06T00:00:00"/>
        <d v="2022-09-24T00:00:00"/>
        <d v="2022-12-02T00:00:00"/>
        <d v="2022-12-12T00:00:00"/>
        <d v="2023-03-08T00:00:00"/>
        <d v="2022-09-16T00:00:00"/>
        <d v="2022-02-23T00:00:00"/>
        <d v="2022-08-18T00:00:00"/>
        <d v="2022-02-11T00:00:00"/>
        <d v="2022-02-01T00:00:00"/>
        <d v="2022-05-10T00:00:00"/>
        <d v="2023-12-18T00:00:00"/>
        <d v="2022-09-20T00:00:00"/>
        <d v="2023-01-13T00:00:00"/>
        <d v="2022-06-21T00:00:00"/>
        <d v="2022-11-15T00:00:00"/>
        <d v="2022-01-27T00:00:00"/>
        <d v="2023-01-20T00:00:00"/>
        <d v="2023-02-11T00:00:00"/>
      </sharedItems>
    </cacheField>
    <cacheField name="Delivery_Date" numFmtId="0">
      <sharedItems containsNonDate="0" containsDate="1" containsString="0" containsBlank="1" minDate="2022-01-06T00:00:00" maxDate="2024-01-13T00:00:00" count="450">
        <d v="2023-10-25T00:00:00"/>
        <d v="2022-05-05T00:00:00"/>
        <d v="2022-02-15T00:00:00"/>
        <d v="2022-10-28T00:00:00"/>
        <d v="2022-09-20T00:00:00"/>
        <d v="2022-08-29T00:00:00"/>
        <d v="2022-06-03T00:00:00"/>
        <d v="2022-04-29T00:00:00"/>
        <d v="2023-11-28T00:00:00"/>
        <d v="2023-07-25T00:00:00"/>
        <d v="2022-04-15T00:00:00"/>
        <d v="2023-09-11T00:00:00"/>
        <d v="2023-03-26T00:00:00"/>
        <m/>
        <d v="2022-02-18T00:00:00"/>
        <d v="2022-04-21T00:00:00"/>
        <d v="2022-08-31T00:00:00"/>
        <d v="2022-09-04T00:00:00"/>
        <d v="2023-06-05T00:00:00"/>
        <d v="2023-09-24T00:00:00"/>
        <d v="2022-02-12T00:00:00"/>
        <d v="2023-08-11T00:00:00"/>
        <d v="2022-08-08T00:00:00"/>
        <d v="2023-11-03T00:00:00"/>
        <d v="2024-01-01T00:00:00"/>
        <d v="2023-07-24T00:00:00"/>
        <d v="2022-08-23T00:00:00"/>
        <d v="2023-04-22T00:00:00"/>
        <d v="2022-10-26T00:00:00"/>
        <d v="2022-01-15T00:00:00"/>
        <d v="2022-06-29T00:00:00"/>
        <d v="2023-12-17T00:00:00"/>
        <d v="2023-03-17T00:00:00"/>
        <d v="2022-12-23T00:00:00"/>
        <d v="2022-10-31T00:00:00"/>
        <d v="2022-06-27T00:00:00"/>
        <d v="2022-04-27T00:00:00"/>
        <d v="2022-04-14T00:00:00"/>
        <d v="2023-02-02T00:00:00"/>
        <d v="2022-04-17T00:00:00"/>
        <d v="2023-01-21T00:00:00"/>
        <d v="2023-09-18T00:00:00"/>
        <d v="2022-10-14T00:00:00"/>
        <d v="2022-03-05T00:00:00"/>
        <d v="2023-07-14T00:00:00"/>
        <d v="2022-03-28T00:00:00"/>
        <d v="2023-08-07T00:00:00"/>
        <d v="2022-10-30T00:00:00"/>
        <d v="2023-10-01T00:00:00"/>
        <d v="2023-01-22T00:00:00"/>
        <d v="2023-08-16T00:00:00"/>
        <d v="2022-08-01T00:00:00"/>
        <d v="2024-01-03T00:00:00"/>
        <d v="2022-03-15T00:00:00"/>
        <d v="2022-03-04T00:00:00"/>
        <d v="2023-11-12T00:00:00"/>
        <d v="2022-08-25T00:00:00"/>
        <d v="2022-04-11T00:00:00"/>
        <d v="2022-04-22T00:00:00"/>
        <d v="2023-02-08T00:00:00"/>
        <d v="2022-11-01T00:00:00"/>
        <d v="2023-04-27T00:00:00"/>
        <d v="2023-10-28T00:00:00"/>
        <d v="2023-01-28T00:00:00"/>
        <d v="2023-02-04T00:00:00"/>
        <d v="2023-01-03T00:00:00"/>
        <d v="2023-11-25T00:00:00"/>
        <d v="2022-10-04T00:00:00"/>
        <d v="2023-12-26T00:00:00"/>
        <d v="2023-12-07T00:00:00"/>
        <d v="2023-11-10T00:00:00"/>
        <d v="2022-03-31T00:00:00"/>
        <d v="2023-10-23T00:00:00"/>
        <d v="2022-07-10T00:00:00"/>
        <d v="2023-07-09T00:00:00"/>
        <d v="2022-07-06T00:00:00"/>
        <d v="2023-04-26T00:00:00"/>
        <d v="2023-02-11T00:00:00"/>
        <d v="2022-10-09T00:00:00"/>
        <d v="2023-12-09T00:00:00"/>
        <d v="2023-08-04T00:00:00"/>
        <d v="2022-09-01T00:00:00"/>
        <d v="2022-12-14T00:00:00"/>
        <d v="2022-02-22T00:00:00"/>
        <d v="2022-12-10T00:00:00"/>
        <d v="2023-03-01T00:00:00"/>
        <d v="2022-10-22T00:00:00"/>
        <d v="2022-03-12T00:00:00"/>
        <d v="2022-08-24T00:00:00"/>
        <d v="2023-08-05T00:00:00"/>
        <d v="2022-08-15T00:00:00"/>
        <d v="2023-11-09T00:00:00"/>
        <d v="2023-06-11T00:00:00"/>
        <d v="2023-05-01T00:00:00"/>
        <d v="2022-10-13T00:00:00"/>
        <d v="2022-05-27T00:00:00"/>
        <d v="2022-09-21T00:00:00"/>
        <d v="2023-08-14T00:00:00"/>
        <d v="2023-07-19T00:00:00"/>
        <d v="2022-10-15T00:00:00"/>
        <d v="2023-08-25T00:00:00"/>
        <d v="2023-09-03T00:00:00"/>
        <d v="2023-02-14T00:00:00"/>
        <d v="2023-01-24T00:00:00"/>
        <d v="2023-06-22T00:00:00"/>
        <d v="2023-05-23T00:00:00"/>
        <d v="2022-02-28T00:00:00"/>
        <d v="2022-05-09T00:00:00"/>
        <d v="2022-06-26T00:00:00"/>
        <d v="2023-10-11T00:00:00"/>
        <d v="2022-06-14T00:00:00"/>
        <d v="2023-12-01T00:00:00"/>
        <d v="2023-03-13T00:00:00"/>
        <d v="2023-09-07T00:00:00"/>
        <d v="2023-02-09T00:00:00"/>
        <d v="2023-09-19T00:00:00"/>
        <d v="2022-09-22T00:00:00"/>
        <d v="2022-01-17T00:00:00"/>
        <d v="2022-05-12T00:00:00"/>
        <d v="2023-07-05T00:00:00"/>
        <d v="2022-10-11T00:00:00"/>
        <d v="2023-11-07T00:00:00"/>
        <d v="2022-04-30T00:00:00"/>
        <d v="2022-11-13T00:00:00"/>
        <d v="2023-04-09T00:00:00"/>
        <d v="2022-06-24T00:00:00"/>
        <d v="2023-04-21T00:00:00"/>
        <d v="2022-01-12T00:00:00"/>
        <d v="2022-10-05T00:00:00"/>
        <d v="2022-07-18T00:00:00"/>
        <d v="2023-06-17T00:00:00"/>
        <d v="2022-04-24T00:00:00"/>
        <d v="2023-10-05T00:00:00"/>
        <d v="2022-11-21T00:00:00"/>
        <d v="2023-10-21T00:00:00"/>
        <d v="2023-06-19T00:00:00"/>
        <d v="2022-07-28T00:00:00"/>
        <d v="2022-06-11T00:00:00"/>
        <d v="2023-01-27T00:00:00"/>
        <d v="2022-06-28T00:00:00"/>
        <d v="2023-07-18T00:00:00"/>
        <d v="2023-07-16T00:00:00"/>
        <d v="2023-09-22T00:00:00"/>
        <d v="2022-11-30T00:00:00"/>
        <d v="2023-05-24T00:00:00"/>
        <d v="2022-01-30T00:00:00"/>
        <d v="2022-09-07T00:00:00"/>
        <d v="2022-03-11T00:00:00"/>
        <d v="2023-08-06T00:00:00"/>
        <d v="2022-04-03T00:00:00"/>
        <d v="2022-04-06T00:00:00"/>
        <d v="2023-06-01T00:00:00"/>
        <d v="2022-03-18T00:00:00"/>
        <d v="2023-07-03T00:00:00"/>
        <d v="2022-05-22T00:00:00"/>
        <d v="2022-05-20T00:00:00"/>
        <d v="2023-11-26T00:00:00"/>
        <d v="2023-05-17T00:00:00"/>
        <d v="2023-08-01T00:00:00"/>
        <d v="2022-06-20T00:00:00"/>
        <d v="2023-09-20T00:00:00"/>
        <d v="2023-03-22T00:00:00"/>
        <d v="2023-07-21T00:00:00"/>
        <d v="2023-12-23T00:00:00"/>
        <d v="2022-11-20T00:00:00"/>
        <d v="2023-03-04T00:00:00"/>
        <d v="2023-11-29T00:00:00"/>
        <d v="2023-01-31T00:00:00"/>
        <d v="2023-04-13T00:00:00"/>
        <d v="2023-06-16T00:00:00"/>
        <d v="2022-05-14T00:00:00"/>
        <d v="2022-09-19T00:00:00"/>
        <d v="2022-03-14T00:00:00"/>
        <d v="2022-12-18T00:00:00"/>
        <d v="2022-01-24T00:00:00"/>
        <d v="2023-09-10T00:00:00"/>
        <d v="2023-08-03T00:00:00"/>
        <d v="2022-08-27T00:00:00"/>
        <d v="2022-08-28T00:00:00"/>
        <d v="2022-01-13T00:00:00"/>
        <d v="2022-03-26T00:00:00"/>
        <d v="2024-01-04T00:00:00"/>
        <d v="2023-10-18T00:00:00"/>
        <d v="2022-02-13T00:00:00"/>
        <d v="2022-12-20T00:00:00"/>
        <d v="2022-09-14T00:00:00"/>
        <d v="2023-05-26T00:00:00"/>
        <d v="2022-08-26T00:00:00"/>
        <d v="2022-05-25T00:00:00"/>
        <d v="2023-08-20T00:00:00"/>
        <d v="2023-08-22T00:00:00"/>
        <d v="2023-05-20T00:00:00"/>
        <d v="2022-09-24T00:00:00"/>
        <d v="2023-02-24T00:00:00"/>
        <d v="2022-07-29T00:00:00"/>
        <d v="2023-11-08T00:00:00"/>
        <d v="2023-01-14T00:00:00"/>
        <d v="2023-03-18T00:00:00"/>
        <d v="2023-03-02T00:00:00"/>
        <d v="2023-05-06T00:00:00"/>
        <d v="2023-11-05T00:00:00"/>
        <d v="2023-11-13T00:00:00"/>
        <d v="2022-04-20T00:00:00"/>
        <d v="2022-03-16T00:00:00"/>
        <d v="2022-04-26T00:00:00"/>
        <d v="2022-07-23T00:00:00"/>
        <d v="2023-07-08T00:00:00"/>
        <d v="2023-03-29T00:00:00"/>
        <d v="2022-10-24T00:00:00"/>
        <d v="2023-04-24T00:00:00"/>
        <d v="2023-04-06T00:00:00"/>
        <d v="2023-07-26T00:00:00"/>
        <d v="2022-04-16T00:00:00"/>
        <d v="2022-03-13T00:00:00"/>
        <d v="2023-11-04T00:00:00"/>
        <d v="2022-01-22T00:00:00"/>
        <d v="2022-04-07T00:00:00"/>
        <d v="2022-09-12T00:00:00"/>
        <d v="2023-02-22T00:00:00"/>
        <d v="2023-05-15T00:00:00"/>
        <d v="2023-05-22T00:00:00"/>
        <d v="2022-08-10T00:00:00"/>
        <d v="2023-02-27T00:00:00"/>
        <d v="2022-03-06T00:00:00"/>
        <d v="2022-01-20T00:00:00"/>
        <d v="2023-02-05T00:00:00"/>
        <d v="2023-04-25T00:00:00"/>
        <d v="2022-11-05T00:00:00"/>
        <d v="2023-03-25T00:00:00"/>
        <d v="2023-12-18T00:00:00"/>
        <d v="2023-07-29T00:00:00"/>
        <d v="2023-11-18T00:00:00"/>
        <d v="2023-06-02T00:00:00"/>
        <d v="2022-06-19T00:00:00"/>
        <d v="2022-08-03T00:00:00"/>
        <d v="2022-11-15T00:00:00"/>
        <d v="2023-09-04T00:00:00"/>
        <d v="2023-07-17T00:00:00"/>
        <d v="2022-12-03T00:00:00"/>
        <d v="2023-06-15T00:00:00"/>
        <d v="2023-07-01T00:00:00"/>
        <d v="2022-06-15T00:00:00"/>
        <d v="2023-06-23T00:00:00"/>
        <d v="2022-07-14T00:00:00"/>
        <d v="2023-12-05T00:00:00"/>
        <d v="2022-09-15T00:00:00"/>
        <d v="2023-03-06T00:00:00"/>
        <d v="2022-05-07T00:00:00"/>
        <d v="2023-08-30T00:00:00"/>
        <d v="2023-09-21T00:00:00"/>
        <d v="2023-10-06T00:00:00"/>
        <d v="2023-03-16T00:00:00"/>
        <d v="2023-08-27T00:00:00"/>
        <d v="2023-08-21T00:00:00"/>
        <d v="2022-10-12T00:00:00"/>
        <d v="2022-08-12T00:00:00"/>
        <d v="2023-11-23T00:00:00"/>
        <d v="2022-11-29T00:00:00"/>
        <d v="2022-10-01T00:00:00"/>
        <d v="2022-05-18T00:00:00"/>
        <d v="2023-12-03T00:00:00"/>
        <d v="2022-11-11T00:00:00"/>
        <d v="2023-04-18T00:00:00"/>
        <d v="2022-11-24T00:00:00"/>
        <d v="2022-04-04T00:00:00"/>
        <d v="2023-04-28T00:00:00"/>
        <d v="2022-08-21T00:00:00"/>
        <d v="2022-10-07T00:00:00"/>
        <d v="2022-05-28T00:00:00"/>
        <d v="2022-12-26T00:00:00"/>
        <d v="2022-03-27T00:00:00"/>
        <d v="2022-06-25T00:00:00"/>
        <d v="2023-04-07T00:00:00"/>
        <d v="2023-07-22T00:00:00"/>
        <d v="2024-01-11T00:00:00"/>
        <d v="2022-11-18T00:00:00"/>
        <d v="2023-09-23T00:00:00"/>
        <d v="2023-11-20T00:00:00"/>
        <d v="2023-06-29T00:00:00"/>
        <d v="2022-01-19T00:00:00"/>
        <d v="2023-07-28T00:00:00"/>
        <d v="2022-11-07T00:00:00"/>
        <d v="2022-05-23T00:00:00"/>
        <d v="2022-10-03T00:00:00"/>
        <d v="2022-04-23T00:00:00"/>
        <d v="2022-10-21T00:00:00"/>
        <d v="2022-11-04T00:00:00"/>
        <d v="2023-10-02T00:00:00"/>
        <d v="2022-12-21T00:00:00"/>
        <d v="2022-08-07T00:00:00"/>
        <d v="2023-12-24T00:00:00"/>
        <d v="2023-10-29T00:00:00"/>
        <d v="2023-06-04T00:00:00"/>
        <d v="2022-09-18T00:00:00"/>
        <d v="2023-10-14T00:00:00"/>
        <d v="2022-01-06T00:00:00"/>
        <d v="2022-12-19T00:00:00"/>
        <d v="2023-07-31T00:00:00"/>
        <d v="2022-01-21T00:00:00"/>
        <d v="2022-04-01T00:00:00"/>
        <d v="2023-12-29T00:00:00"/>
        <d v="2022-06-13T00:00:00"/>
        <d v="2023-08-23T00:00:00"/>
        <d v="2023-08-02T00:00:00"/>
        <d v="2022-06-12T00:00:00"/>
        <d v="2023-04-03T00:00:00"/>
        <d v="2022-02-26T00:00:00"/>
        <d v="2023-01-07T00:00:00"/>
        <d v="2022-08-14T00:00:00"/>
        <d v="2023-12-04T00:00:00"/>
        <d v="2023-01-18T00:00:00"/>
        <d v="2023-08-10T00:00:00"/>
        <d v="2022-09-02T00:00:00"/>
        <d v="2023-03-14T00:00:00"/>
        <d v="2022-02-03T00:00:00"/>
        <d v="2022-07-19T00:00:00"/>
        <d v="2022-10-18T00:00:00"/>
        <d v="2024-01-09T00:00:00"/>
        <d v="2023-02-12T00:00:00"/>
        <d v="2022-02-27T00:00:00"/>
        <d v="2023-04-23T00:00:00"/>
        <d v="2023-01-11T00:00:00"/>
        <d v="2022-11-23T00:00:00"/>
        <d v="2022-08-30T00:00:00"/>
        <d v="2022-07-25T00:00:00"/>
        <d v="2023-02-16T00:00:00"/>
        <d v="2022-12-04T00:00:00"/>
        <d v="2022-10-17T00:00:00"/>
        <d v="2022-03-24T00:00:00"/>
        <d v="2023-10-24T00:00:00"/>
        <d v="2023-02-15T00:00:00"/>
        <d v="2023-07-11T00:00:00"/>
        <d v="2022-12-24T00:00:00"/>
        <d v="2022-05-13T00:00:00"/>
        <d v="2023-09-01T00:00:00"/>
        <d v="2022-10-19T00:00:00"/>
        <d v="2022-05-08T00:00:00"/>
        <d v="2022-12-25T00:00:00"/>
        <d v="2022-11-19T00:00:00"/>
        <d v="2023-03-31T00:00:00"/>
        <d v="2022-05-11T00:00:00"/>
        <d v="2023-08-31T00:00:00"/>
        <d v="2022-07-27T00:00:00"/>
        <d v="2023-12-28T00:00:00"/>
        <d v="2023-06-28T00:00:00"/>
        <d v="2023-12-11T00:00:00"/>
        <d v="2023-03-21T00:00:00"/>
        <d v="2023-11-19T00:00:00"/>
        <d v="2022-12-12T00:00:00"/>
        <d v="2023-10-12T00:00:00"/>
        <d v="2022-05-10T00:00:00"/>
        <d v="2023-06-06T00:00:00"/>
        <d v="2023-03-08T00:00:00"/>
        <d v="2023-02-23T00:00:00"/>
        <d v="2023-12-31T00:00:00"/>
        <d v="2022-11-16T00:00:00"/>
        <d v="2022-07-22T00:00:00"/>
        <d v="2023-02-03T00:00:00"/>
        <d v="2022-07-13T00:00:00"/>
        <d v="2023-09-25T00:00:00"/>
        <d v="2023-08-18T00:00:00"/>
        <d v="2022-01-07T00:00:00"/>
        <d v="2022-11-10T00:00:00"/>
        <d v="2022-08-19T00:00:00"/>
        <d v="2023-03-20T00:00:00"/>
        <d v="2023-08-29T00:00:00"/>
        <d v="2023-10-03T00:00:00"/>
        <d v="2022-12-08T00:00:00"/>
        <d v="2023-04-15T00:00:00"/>
        <d v="2023-06-14T00:00:00"/>
        <d v="2023-05-13T00:00:00"/>
        <d v="2023-11-15T00:00:00"/>
        <d v="2023-11-16T00:00:00"/>
        <d v="2023-10-26T00:00:00"/>
        <d v="2023-11-30T00:00:00"/>
        <d v="2022-08-09T00:00:00"/>
        <d v="2022-06-07T00:00:00"/>
        <d v="2022-09-27T00:00:00"/>
        <d v="2022-03-29T00:00:00"/>
        <d v="2022-07-30T00:00:00"/>
        <d v="2023-12-30T00:00:00"/>
        <d v="2023-06-09T00:00:00"/>
        <d v="2023-02-20T00:00:00"/>
        <d v="2023-12-12T00:00:00"/>
        <d v="2022-01-14T00:00:00"/>
        <d v="2023-03-15T00:00:00"/>
        <d v="2023-06-21T00:00:00"/>
        <d v="2023-05-10T00:00:00"/>
        <d v="2022-10-02T00:00:00"/>
        <d v="2022-05-06T00:00:00"/>
        <d v="2023-05-02T00:00:00"/>
        <d v="2022-05-24T00:00:00"/>
        <d v="2023-05-05T00:00:00"/>
        <d v="2023-09-15T00:00:00"/>
        <d v="2023-04-05T00:00:00"/>
        <d v="2023-06-12T00:00:00"/>
        <d v="2023-03-24T00:00:00"/>
        <d v="2023-07-27T00:00:00"/>
        <d v="2023-04-14T00:00:00"/>
        <d v="2023-05-14T00:00:00"/>
        <d v="2023-04-10T00:00:00"/>
        <d v="2022-10-08T00:00:00"/>
        <d v="2022-09-26T00:00:00"/>
        <d v="2023-10-19T00:00:00"/>
        <d v="2023-07-02T00:00:00"/>
        <d v="2023-05-18T00:00:00"/>
        <d v="2022-09-09T00:00:00"/>
        <d v="2022-10-25T00:00:00"/>
        <d v="2022-09-06T00:00:00"/>
        <d v="2022-05-31T00:00:00"/>
        <d v="2022-06-17T00:00:00"/>
        <d v="2024-01-12T00:00:00"/>
        <d v="2023-03-05T00:00:00"/>
        <d v="2022-12-17T00:00:00"/>
        <d v="2022-08-17T00:00:00"/>
        <d v="2023-03-27T00:00:00"/>
        <d v="2023-12-27T00:00:00"/>
        <d v="2022-01-26T00:00:00"/>
        <d v="2022-12-28T00:00:00"/>
        <d v="2022-11-06T00:00:00"/>
        <d v="2023-03-07T00:00:00"/>
        <d v="2023-07-15T00:00:00"/>
        <d v="2023-09-29T00:00:00"/>
        <d v="2022-08-16T00:00:00"/>
        <d v="2023-05-21T00:00:00"/>
        <d v="2022-10-20T00:00:00"/>
        <d v="2022-02-14T00:00:00"/>
        <d v="2023-12-06T00:00:00"/>
        <d v="2023-02-21T00:00:00"/>
        <d v="2023-10-13T00:00:00"/>
        <d v="2023-07-07T00:00:00"/>
        <d v="2023-09-08T00:00:00"/>
        <d v="2023-08-08T00:00:00"/>
        <d v="2022-02-07T00:00:00"/>
        <d v="2023-01-29T00:00:00"/>
        <d v="2022-12-30T00:00:00"/>
        <d v="2023-07-23T00:00:00"/>
        <d v="2023-01-12T00:00:00"/>
        <d v="2022-03-19T00:00:00"/>
        <d v="2022-09-30T00:00:00"/>
        <d v="2022-07-26T00:00:00"/>
        <d v="2022-05-16T00:00:00"/>
        <d v="2023-05-03T00:00:00"/>
        <d v="2024-01-05T00:00:00"/>
        <d v="2022-09-25T00:00:00"/>
        <d v="2023-09-28T00:00:00"/>
        <d v="2022-11-22T00:00:00"/>
        <d v="2022-05-04T00:00:00"/>
        <d v="2023-09-02T00:00:00"/>
        <d v="2022-02-09T00:00:00"/>
      </sharedItems>
      <fieldGroup par="17"/>
    </cacheField>
    <cacheField name="Item_Category" numFmtId="0">
      <sharedItems count="5">
        <s v="Office Supplies"/>
        <s v="MRO"/>
        <s v="Packaging"/>
        <s v="Raw Materials"/>
        <s v="Electronics"/>
      </sharedItems>
    </cacheField>
    <cacheField name="Order_Status" numFmtId="0">
      <sharedItems count="4">
        <s v="Cancelled"/>
        <s v="Delivered"/>
        <s v="Partially Delivered"/>
        <s v="Pending"/>
      </sharedItems>
    </cacheField>
    <cacheField name="Quantity" numFmtId="0">
      <sharedItems containsSemiMixedTypes="0" containsString="0" containsNumber="1" containsInteger="1" minValue="51" maxValue="5000"/>
    </cacheField>
    <cacheField name="Unit_Price" numFmtId="0">
      <sharedItems containsSemiMixedTypes="0" containsString="0" containsNumber="1" minValue="10.84" maxValue="109.17"/>
    </cacheField>
    <cacheField name="Negotiated_Price" numFmtId="0">
      <sharedItems containsSemiMixedTypes="0" containsString="0" containsNumber="1" minValue="9.27" maxValue="107.39"/>
    </cacheField>
    <cacheField name="Defective_Units" numFmtId="0">
      <sharedItems containsString="0" containsBlank="1" containsNumber="1" containsInteger="1" minValue="0" maxValue="321"/>
    </cacheField>
    <cacheField name="Compliance" numFmtId="0">
      <sharedItems count="2">
        <s v="Yes"/>
        <s v="No"/>
      </sharedItems>
    </cacheField>
    <cacheField name="Avg. Delivery Lead Time" numFmtId="0">
      <sharedItems containsMixedTypes="1" containsNumber="1" containsInteger="1" minValue="-5" maxValue="20"/>
    </cacheField>
    <cacheField name="Saving Per unit" numFmtId="0">
      <sharedItems containsSemiMixedTypes="0" containsString="0" containsNumber="1" minValue="0.17999999999999972" maxValue="15.560000000000002"/>
    </cacheField>
    <cacheField name="Saving Percentage" numFmtId="9">
      <sharedItems containsSemiMixedTypes="0" containsString="0" containsNumber="1" minValue="1.0054137664346404E-2" maxValue="0.14992548435171388" count="777">
        <n v="0.11525086934923003"/>
        <n v="5.0356052899287816E-2"/>
        <n v="3.4027850486860016E-2"/>
        <n v="4.3365047571357021E-2"/>
        <n v="5.5252068050569571E-2"/>
        <n v="8.1491114000866838E-2"/>
        <n v="6.9106482382713594E-2"/>
        <n v="0.11237476306525856"/>
        <n v="9.1964488959708615E-2"/>
        <n v="8.6769871211135705E-2"/>
        <n v="6.1281691935278229E-2"/>
        <n v="2.675359712230211E-2"/>
        <n v="0.13696103297210049"/>
        <n v="7.7595628415300641E-2"/>
        <n v="0.11100917431192656"/>
        <n v="1.881894873458799E-2"/>
        <n v="9.8310042248943727E-2"/>
        <n v="1.6899766899766851E-2"/>
        <n v="0.104173074951297"/>
        <n v="0.14975951027547008"/>
        <n v="4.1382667964946343E-2"/>
        <n v="4.733253108704371E-2"/>
        <n v="4.7719124737297558E-2"/>
        <n v="8.5757617537570649E-2"/>
        <n v="5.6807511737089242E-2"/>
        <n v="9.9738903394255896E-2"/>
        <n v="0.14117647058823538"/>
        <n v="7.5306479859894873E-2"/>
        <n v="0.11954354088189681"/>
        <n v="8.9882060831781435E-2"/>
        <n v="0.12044198895027632"/>
        <n v="0.1122448979591837"/>
        <n v="3.4067344722030247E-2"/>
        <n v="0.10264832683227264"/>
        <n v="6.919594740245745E-2"/>
        <n v="7.0785364185569452E-2"/>
        <n v="8.2077556761101081E-2"/>
        <n v="0.10186740440667907"/>
        <n v="5.4389668446541604E-2"/>
        <n v="0.14325842696629218"/>
        <n v="0.13610798650168737"/>
        <n v="4.030071481390185E-2"/>
        <n v="8.5642711758258952E-2"/>
        <n v="0.13251533742331281"/>
        <n v="2.9978366127536796E-2"/>
        <n v="8.8109900521080031E-2"/>
        <n v="0.14990798059227037"/>
        <n v="1.5706806282722641E-2"/>
        <n v="0.12166285278413416"/>
        <n v="5.3703703703703656E-2"/>
        <n v="0.13164893617021273"/>
        <n v="5.9075750357312939E-2"/>
        <n v="0.12780918240727979"/>
        <n v="1.937885010266947E-2"/>
        <n v="0.11169822398356073"/>
        <n v="5.8351495938181105E-2"/>
        <n v="0.11504241671839427"/>
        <n v="9.7989310257062909E-2"/>
        <n v="2.3432484485341298E-2"/>
        <n v="0.12670506214004254"/>
        <n v="9.448739833316594E-2"/>
        <n v="0.10751818916734035"/>
        <n v="5.2106655811113414E-2"/>
        <n v="0.11756272401433683"/>
        <n v="5.822430839908118E-2"/>
        <n v="5.14199294236262E-2"/>
        <n v="0.14984591679506937"/>
        <n v="8.3283759666864882E-2"/>
        <n v="0.13141750080723283"/>
        <n v="0.11833839918946308"/>
        <n v="5.4876033057851242E-2"/>
        <n v="0.14876507754164273"/>
        <n v="5.2651806302843961E-2"/>
        <n v="3.5555555555555556E-2"/>
        <n v="1.1636157230026865E-2"/>
        <n v="9.0880748246297813E-2"/>
        <n v="0.13151082116599347"/>
        <n v="0.1398789509078682"/>
        <n v="9.6385542168674773E-2"/>
        <n v="4.7713342762847735E-2"/>
        <n v="0.1356976003397749"/>
        <n v="0.10618846694796059"/>
        <n v="2.671027527936759E-2"/>
        <n v="0.13069358178053822"/>
        <n v="4.1544117647058787E-2"/>
        <n v="4.4631874890177461E-2"/>
        <n v="0.13141372591470016"/>
        <n v="1.0922140739585003E-2"/>
        <n v="0.1300593631948192"/>
        <n v="7.5688976377952744E-2"/>
        <n v="0.14877012743257928"/>
        <n v="5.90038314176244E-2"/>
        <n v="8.8435374149659879E-2"/>
        <n v="4.8786653185035382E-2"/>
        <n v="6.2078712763644357E-2"/>
        <n v="0.12885048835462065"/>
        <n v="9.2364990689013049E-2"/>
        <n v="5.3886554621848839E-2"/>
        <n v="2.9565588643398401E-2"/>
        <n v="0.13784161180929591"/>
        <n v="0.13594926674593727"/>
        <n v="4.459919988146379E-2"/>
        <n v="6.746031746031754E-2"/>
        <n v="9.620843471208429E-2"/>
        <n v="1.5161221439248364E-2"/>
        <n v="0.10612244897959175"/>
        <n v="0.13040000000000007"/>
        <n v="0.11118450022016742"/>
        <n v="0.13817020808103048"/>
        <n v="7.2543352601156089E-2"/>
        <n v="6.6091954022988481E-2"/>
        <n v="6.4868701206529558E-2"/>
        <n v="4.0987034713509007E-2"/>
        <n v="5.3368075661069297E-2"/>
        <n v="3.1329113924050619E-2"/>
        <n v="5.7805355976485985E-2"/>
        <n v="0.10783392823595708"/>
        <n v="7.7594962421287841E-2"/>
        <n v="7.8753541076487091E-2"/>
        <n v="4.5280612244897898E-2"/>
        <n v="0.10863888018385047"/>
        <n v="0.14230557087699949"/>
        <n v="2.4333942483408685E-2"/>
        <n v="1.6304845653567841E-2"/>
        <n v="8.0697928026172303E-2"/>
        <n v="0.13420961604980974"/>
        <n v="8.0031617429107749E-2"/>
        <n v="6.6877591097534314E-2"/>
        <n v="7.607067984426473E-2"/>
        <n v="1.318851823118696E-2"/>
        <n v="1.1935208866155206E-2"/>
        <n v="1.9221481696126676E-2"/>
        <n v="0.13156288156288154"/>
        <n v="2.9612756264236907E-2"/>
        <n v="7.0479653195357372E-2"/>
        <n v="9.8855359001040574E-2"/>
        <n v="5.442468395114633E-2"/>
        <n v="4.3415340086830782E-2"/>
        <n v="1.6370379843969832E-2"/>
        <n v="4.2098339088965667E-2"/>
        <n v="0.14761033615367022"/>
        <n v="0.14046706169397005"/>
        <n v="0.11327529923830261"/>
        <n v="0.14434782608695657"/>
        <n v="0.14159026003306782"/>
        <n v="3.944752537407132E-2"/>
        <n v="7.9004975124378082E-2"/>
        <n v="6.1900610287707131E-2"/>
        <n v="8.0174927113702721E-2"/>
        <n v="9.1841970241149276E-2"/>
        <n v="5.17312166415764E-2"/>
        <n v="0.13844501141399224"/>
        <n v="7.4737492279184733E-2"/>
        <n v="6.3838550247117001E-2"/>
        <n v="0.11082910321489006"/>
        <n v="0.1067073170731707"/>
        <n v="7.8425480769230754E-2"/>
        <n v="0.1215745976511526"/>
        <n v="3.6828842798992158E-2"/>
        <n v="7.4869591899355561E-2"/>
        <n v="9.5327984898537013E-2"/>
        <n v="6.1177248677248608E-2"/>
        <n v="3.3155345833850762E-2"/>
        <n v="5.4713804713804742E-2"/>
        <n v="0.14073242598568816"/>
        <n v="5.2194148936170144E-2"/>
        <n v="4.7793762672588481E-2"/>
        <n v="3.1369224247562458E-2"/>
        <n v="0.14186046511627906"/>
        <n v="0.13789473684210526"/>
        <n v="8.9300299482711523E-2"/>
        <n v="8.6566091954022997E-2"/>
        <n v="6.4802814293649327E-2"/>
        <n v="0.10666428443809181"/>
        <n v="4.6081813701330646E-2"/>
        <n v="4.6318456990004309E-2"/>
        <n v="0.13333333333333336"/>
        <n v="5.0708833151581229E-2"/>
        <n v="5.1621160409556346E-2"/>
        <n v="0.12685873605947959"/>
        <n v="1.6513056835637471E-2"/>
        <n v="7.6629974597798564E-2"/>
        <n v="4.0361198522369718E-2"/>
        <n v="4.8919226393629223E-2"/>
        <n v="0.12652767792954694"/>
        <n v="0.13218928757150294"/>
        <n v="4.0694519804666304E-2"/>
        <n v="0.11237650933040612"/>
        <n v="2.6009316770186398E-2"/>
        <n v="4.1901408450704149E-2"/>
        <n v="0.14619492656875843"/>
        <n v="3.6920659858601775E-2"/>
        <n v="0.11180124223602486"/>
        <n v="0.14102106390574803"/>
        <n v="5.0110132158590316E-2"/>
        <n v="6.9376933274414507E-2"/>
        <n v="0.13923809523809527"/>
        <n v="8.6135895676046723E-2"/>
        <n v="9.9599915771741501E-2"/>
        <n v="8.0026787209107553E-2"/>
        <n v="7.0583746661579516E-2"/>
        <n v="9.870317002881851E-2"/>
        <n v="0.1142924196198075"/>
        <n v="0.13553215077605313"/>
        <n v="6.9669984284965861E-2"/>
        <n v="4.8824211747337296E-2"/>
        <n v="0.11806928118173302"/>
        <n v="7.8744819419775014E-2"/>
        <n v="0.14384793218597486"/>
        <n v="2.9166176643537621E-2"/>
        <n v="0.11579311937196952"/>
        <n v="8.4108804581245575E-2"/>
        <n v="9.6354166666666588E-2"/>
        <n v="0.1290791935148618"/>
        <n v="1.9581363943281627E-2"/>
        <n v="2.9893647599885002E-2"/>
        <n v="7.2680077871511997E-2"/>
        <n v="2.2134951802927561E-2"/>
        <n v="4.6346454797158959E-2"/>
        <n v="9.1378039793662505E-2"/>
        <n v="0.10490743461651485"/>
        <n v="9.1666666666666563E-2"/>
        <n v="4.9196457855034438E-2"/>
        <n v="0.11195670556401158"/>
        <n v="0.13905683192261181"/>
        <n v="9.7629009762901037E-2"/>
        <n v="7.975908012411019E-2"/>
        <n v="2.3682454969980015E-2"/>
        <n v="0.12482065997130563"/>
        <n v="3.7256562235393739E-2"/>
        <n v="1.2511373976342227E-2"/>
        <n v="1.6778523489932827E-2"/>
        <n v="0.14032666206579253"/>
        <n v="8.4788029925186997E-2"/>
        <n v="0.11035866566340605"/>
        <n v="3.1613203161320463E-2"/>
        <n v="0.10422844590884124"/>
        <n v="7.2638845309068126E-2"/>
        <n v="0.14887378381980543"/>
        <n v="0.12194525904203328"/>
        <n v="7.1068548387096836E-2"/>
        <n v="0.10733549083063638"/>
        <n v="6.2828083989501279E-2"/>
        <n v="8.5042306037573595E-2"/>
        <n v="6.7139082392505448E-2"/>
        <n v="8.0893987341772222E-2"/>
        <n v="4.1844577284372346E-2"/>
        <n v="0.12275862068965515"/>
        <n v="2.3967472715600204E-2"/>
        <n v="4.3559844524862619E-2"/>
        <n v="0.11565863271183864"/>
        <n v="0.14909672993368389"/>
        <n v="9.2561205273069658E-2"/>
        <n v="0.11745015281618387"/>
        <n v="0.1015794363580055"/>
        <n v="3.2390745501285297E-2"/>
        <n v="2.7374533388635429E-2"/>
        <n v="1.682085786375109E-2"/>
        <n v="0.14978983568972112"/>
        <n v="5.8032554847841492E-2"/>
        <n v="3.1192660550458658E-2"/>
        <n v="4.8038137147047993E-2"/>
        <n v="0.13547328479130352"/>
        <n v="7.5678798382437823E-2"/>
        <n v="0.11669291338582671"/>
        <n v="8.1190019193858043E-2"/>
        <n v="0.14160919540229891"/>
        <n v="1.03042198233561E-2"/>
        <n v="5.0356602550248653E-2"/>
        <n v="0.13700878632808727"/>
        <n v="2.1028793270786182E-2"/>
        <n v="2.4413256280221809E-2"/>
        <n v="7.7301679212507191E-2"/>
        <n v="5.2027543993879093E-2"/>
        <n v="9.7814056447150077E-2"/>
        <n v="1.3520133241892775E-2"/>
        <n v="0.13803775920767566"/>
        <n v="0.13658847933620555"/>
        <n v="0.13143919277748264"/>
        <n v="3.5158642655886196E-2"/>
        <n v="0.13944365192582026"/>
        <n v="7.0596624673163744E-2"/>
        <n v="8.9008363201911564E-2"/>
        <n v="1.4935988620199207E-2"/>
        <n v="0.11692126909518215"/>
        <n v="0.11366711772665777"/>
        <n v="0.10586986197482183"/>
        <n v="3.7887168141592854E-2"/>
        <n v="5.185185185185176E-2"/>
        <n v="4.7235023041474672E-2"/>
        <n v="0.10544090056285174"/>
        <n v="0.11190476190476188"/>
        <n v="0.13965744400527005"/>
        <n v="0.121549636803874"/>
        <n v="4.07989800254994E-2"/>
        <n v="6.8396226415094338E-2"/>
        <n v="0.12820033638572229"/>
        <n v="0.12704309063893021"/>
        <n v="8.4730403262347126E-2"/>
        <n v="9.3233082706766959E-2"/>
        <n v="7.4945295404814052E-2"/>
        <n v="1.4916396006255201E-2"/>
        <n v="0.12089294136142112"/>
        <n v="0.10689346463742164"/>
        <n v="0.11297242083758939"/>
        <n v="0.13325842696629212"/>
        <n v="0.12792479820169622"/>
        <n v="5.3919947072444602E-2"/>
        <n v="3.4262431706639403E-2"/>
        <n v="5.240363793850155E-2"/>
        <n v="0.14433479966710261"/>
        <n v="3.2937947260072535E-2"/>
        <n v="0.10418984056358913"/>
        <n v="0.1373025516403403"/>
        <n v="0.11528384279475994"/>
        <n v="0.1002192295646727"/>
        <n v="7.8157469406603675E-2"/>
        <n v="5.5016181229773441E-2"/>
        <n v="0.11358524516419263"/>
        <n v="1.1255715793176232E-2"/>
        <n v="0.14555256064690017"/>
        <n v="9.3536732236049858E-2"/>
        <n v="8.6707273378717364E-2"/>
        <n v="4.5222846686707723E-2"/>
        <n v="0.11502271252433491"/>
        <n v="8.5376532399299446E-2"/>
        <n v="3.7405450212413212E-2"/>
        <n v="0.13046286329386442"/>
        <n v="0.14837325706113696"/>
        <n v="3.3686953284943144E-2"/>
        <n v="1.239855725879164E-2"/>
        <n v="0.13179169016732464"/>
        <n v="3.4666666666666589E-2"/>
        <n v="9.7870838724855982E-2"/>
        <n v="6.1827956989247236E-2"/>
        <n v="5.9766763848396423E-2"/>
        <n v="6.8507700477960731E-2"/>
        <n v="0.11380400421496323"/>
        <n v="3.6272878535773705E-2"/>
        <n v="0.14698843238930989"/>
        <n v="0.14092692140055202"/>
        <n v="2.3587004895416003E-2"/>
        <n v="8.7946943483275711E-2"/>
        <n v="0.1319766571898848"/>
        <n v="2.3324275362318708E-2"/>
        <n v="3.3831282952548468E-2"/>
        <n v="0.10360256998623224"/>
        <n v="0.14401095140314848"/>
        <n v="8.5484886649874053E-2"/>
        <n v="0.12651453957996769"/>
        <n v="6.965627134076946E-2"/>
        <n v="3.5038260169150119E-2"/>
        <n v="9.4744820616472963E-2"/>
        <n v="0.1458145814581458"/>
        <n v="5.4319831421212834E-2"/>
        <n v="0.12582297000731535"/>
        <n v="0.11986193912770632"/>
        <n v="0.12376177082059424"/>
        <n v="0.11078255359594461"/>
        <n v="2.6201923076923157E-2"/>
        <n v="0.1451578269272063"/>
        <n v="6.3492063492063586E-2"/>
        <n v="0.11559288319151281"/>
        <n v="0.10875216637781621"/>
        <n v="9.2422980849292208E-2"/>
        <n v="7.2907835775705421E-2"/>
        <n v="0.14133673903788832"/>
        <n v="0.11084117825690855"/>
        <n v="0.13078787878787887"/>
        <n v="0.12202599950944325"/>
        <n v="2.619324796274734E-2"/>
        <n v="7.6386990981142433E-2"/>
        <n v="6.1739943872778313E-2"/>
        <n v="3.756285122744759E-2"/>
        <n v="3.8780542479264671E-2"/>
        <n v="1.131386861313864E-2"/>
        <n v="4.049145299145291E-2"/>
        <n v="9.9787685774946899E-2"/>
        <n v="7.370004297378599E-2"/>
        <n v="8.2214765100671203E-2"/>
        <n v="2.2184807368525253E-2"/>
        <n v="7.9613992762364305E-2"/>
        <n v="9.5600808332037907E-2"/>
        <n v="0.12487377987209697"/>
        <n v="0.10538939051918735"/>
        <n v="0.11950655358519666"/>
        <n v="2.4644855789926885E-2"/>
        <n v="4.0956622773044189E-2"/>
        <n v="0.14179988158673779"/>
        <n v="1.1156186612576008E-2"/>
        <n v="7.5897656417974663E-2"/>
        <n v="4.2691131498470883E-2"/>
        <n v="1.0054137664346404E-2"/>
        <n v="1.3700738916256167E-2"/>
        <n v="0.13596430065541756"/>
        <n v="5.8089588872980227E-2"/>
        <n v="0.11271044852846672"/>
        <n v="3.5765379113018601E-2"/>
        <n v="2.1541710665258777E-2"/>
        <n v="0.14221702707968045"/>
        <n v="1.0449795547478437E-2"/>
        <n v="0.11928783382789307"/>
        <n v="3.1449356463346262E-2"/>
        <n v="3.8340099233198074E-2"/>
        <n v="0.10033281127642914"/>
        <n v="3.2501641497045292E-2"/>
        <n v="3.1600066878448428E-2"/>
        <n v="0.12532637075718012"/>
        <n v="6.7005274467669462E-2"/>
        <n v="3.6969696969696937E-2"/>
        <n v="5.2429973665310145E-2"/>
        <n v="2.2072829131652649E-2"/>
        <n v="0.14577777777777784"/>
        <n v="5.1898125901009048E-2"/>
        <n v="1.7368649587494664E-2"/>
        <n v="7.1066846725185692E-2"/>
        <n v="7.1198673558958328E-2"/>
        <n v="0.12372304199772977"/>
        <n v="1.1606313834726092E-2"/>
        <n v="2.6576341844710867E-2"/>
        <n v="8.1065088757396431E-2"/>
        <n v="0.10664993726474274"/>
        <n v="8.1384109800889115E-2"/>
        <n v="0.13727055067837182"/>
        <n v="0.11742846525455222"/>
        <n v="0.1193525435787976"/>
        <n v="7.6214733542319765E-2"/>
        <n v="0.14992548435171388"/>
        <n v="2.146464646464653E-2"/>
        <n v="0.12175349046689686"/>
        <n v="0.13177019059372008"/>
        <n v="4.9194991055456078E-2"/>
        <n v="2.1339739966082603E-2"/>
        <n v="3.1963470319634694E-2"/>
        <n v="0.10465656659540853"/>
        <n v="0.14691151919866441"/>
        <n v="6.7868916036455298E-2"/>
        <n v="2.138435565559927E-2"/>
        <n v="4.1627246925260222E-2"/>
        <n v="3.1436135009927181E-2"/>
        <n v="2.9577261578415771E-2"/>
        <n v="1.5815085158150947E-2"/>
        <n v="9.7684515195369137E-2"/>
        <n v="1.7984390906006027E-2"/>
        <n v="9.4653812445223487E-2"/>
        <n v="0.13583138173302114"/>
        <n v="0.10767627648489052"/>
        <n v="0.1309880239520958"/>
        <n v="0.12796549245147371"/>
        <n v="1.7153748411689936E-2"/>
        <n v="3.907134767836927E-2"/>
        <n v="1.5544041450777106E-2"/>
        <n v="5.9063497694217898E-2"/>
        <n v="0.12558139534883719"/>
        <n v="1.4312977099236641E-2"/>
        <n v="5.297749452300346E-2"/>
        <n v="1.9909783792191757E-2"/>
        <n v="3.9817974971558617E-2"/>
        <n v="0.11875693673695896"/>
        <n v="6.752730883813296E-2"/>
        <n v="0.12549984620116883"/>
        <n v="0.10710309507904689"/>
        <n v="5.3551912568306034E-2"/>
        <n v="0.13213655091230131"/>
        <n v="4.7935256277235841E-2"/>
        <n v="1.6975308641975356E-2"/>
        <n v="1.717408274785329E-2"/>
        <n v="9.5122836742103353E-2"/>
        <n v="1.0821309655937862E-2"/>
        <n v="1.4615384615384577E-2"/>
        <n v="0.14546046208916363"/>
        <n v="6.5521258008153754E-2"/>
        <n v="2.1110023766251994E-2"/>
        <n v="1.44230769230769E-2"/>
        <n v="0.1191576784797124"/>
        <n v="7.0796460176991094E-2"/>
        <n v="1.890289103039294E-2"/>
        <n v="0.13034882078802434"/>
        <n v="4.5575614087007964E-2"/>
        <n v="0.1165582791395697"/>
        <n v="1.2544802867383352E-2"/>
        <n v="0.12649748808450334"/>
        <n v="2.6093715300910598E-2"/>
        <n v="0.13762983947119919"/>
        <n v="5.0807404489956638E-2"/>
        <n v="6.050117679634507E-2"/>
        <n v="2.5742574257425779E-2"/>
        <n v="8.7545596664929629E-2"/>
        <n v="0.11282321899736146"/>
        <n v="0.11524822695035453"/>
        <n v="0.14061654948620866"/>
        <n v="0.11422911852096404"/>
        <n v="0.13513513513513511"/>
        <n v="0.14980749037451876"/>
        <n v="9.5896588005411135E-2"/>
        <n v="4.7368421052631636E-2"/>
        <n v="1.4319081953894553E-2"/>
        <n v="2.6199387546784646E-2"/>
        <n v="8.0961727183513188E-2"/>
        <n v="9.6898079763663256E-2"/>
        <n v="7.3574227252938523E-2"/>
        <n v="0.13580436788680406"/>
        <n v="8.295424137008281E-2"/>
        <n v="2.9061319383900032E-2"/>
        <n v="5.8836023789294735E-2"/>
        <n v="5.3813139650049489E-2"/>
        <n v="0.1271686969361388"/>
        <n v="0.13978494623655915"/>
        <n v="3.160719610376695E-2"/>
        <n v="0.10875877086861838"/>
        <n v="0.10541546093427039"/>
        <n v="1.6807589193648272E-2"/>
        <n v="0.13960650128314805"/>
        <n v="0.12615652552519868"/>
        <n v="9.7457139569669768E-2"/>
        <n v="4.7492904446546795E-2"/>
        <n v="7.3505654281098551E-2"/>
        <n v="2.4191279887482407E-2"/>
        <n v="0.13702574525745251"/>
        <n v="6.6782655246252612E-2"/>
        <n v="6.4171122994652441E-2"/>
        <n v="8.2519964507542121E-2"/>
        <n v="0.14570253301580421"/>
        <n v="1.805154926956358E-2"/>
        <n v="0.12691705790297339"/>
        <n v="2.5486725663716774E-2"/>
        <n v="0.1280247608328644"/>
        <n v="0.13603238866396758"/>
        <n v="0.12121518987341771"/>
        <n v="0.12355769230769231"/>
        <n v="5.2409375454942411E-2"/>
        <n v="4.8947224500957044E-2"/>
        <n v="4.7762998790810106E-2"/>
        <n v="0.11282264779350544"/>
        <n v="0.11054367485902757"/>
        <n v="0.1166380789022298"/>
        <n v="0.14298093587521651"/>
        <n v="6.9777043765482979E-2"/>
        <n v="3.2443746729460959E-2"/>
        <n v="0.12845528455284552"/>
        <n v="9.9543513473715192E-2"/>
        <n v="9.0128755364806815E-2"/>
        <n v="0.10875117623336475"/>
        <n v="5.7391304347826036E-2"/>
        <n v="6.5940902021772926E-2"/>
        <n v="0.12196998845709882"/>
        <n v="0.14635221512012345"/>
        <n v="0.12602739726027395"/>
        <n v="0.10906701708278581"/>
        <n v="0.13857813063875857"/>
        <n v="3.1847920009875304E-2"/>
        <n v="0.10686628807434177"/>
        <n v="9.4399757171042625E-2"/>
        <n v="8.1609521110796335E-2"/>
        <n v="5.7380373073803698E-2"/>
        <n v="0.13710958178930649"/>
        <n v="7.3759499329459188E-2"/>
        <n v="0.12414047151277013"/>
        <n v="2.6129559063690824E-2"/>
        <n v="9.8235202248945788E-2"/>
        <n v="8.7649402390438183E-2"/>
        <n v="0.11320493279756133"/>
        <n v="8.4918747522790397E-2"/>
        <n v="0.11835458263170559"/>
        <n v="0.11245353159851308"/>
        <n v="0.1413502109704641"/>
        <n v="4.4784580498866161E-2"/>
        <n v="5.6498829039812647E-2"/>
        <n v="0.13801916932907349"/>
        <n v="0.1018803418803419"/>
        <n v="7.4236425339366516E-2"/>
        <n v="1.3982642237222717E-2"/>
        <n v="6.7456170904446791E-2"/>
        <n v="7.2649572649572544E-2"/>
        <n v="3.2013969732246843E-2"/>
        <n v="3.5420393559928431E-2"/>
        <n v="9.14036996735582E-2"/>
        <n v="7.5009974730682286E-2"/>
        <n v="2.8700056274620165E-2"/>
        <n v="8.3426651735722196E-2"/>
        <n v="2.6591719814074238E-2"/>
        <n v="8.3314843576658582E-2"/>
        <n v="0.13893608678604116"/>
        <n v="2.3707512139388699E-2"/>
        <n v="5.005357416194698E-2"/>
        <n v="7.9728583545377402E-2"/>
        <n v="2.4020887728459391E-2"/>
        <n v="3.7891440501043795E-2"/>
        <n v="5.5265448215839841E-2"/>
        <n v="6.3122241609360627E-2"/>
        <n v="0.13322696449940166"/>
        <n v="4.4029850746268646E-2"/>
        <n v="0.1258180628272251"/>
        <n v="1.2232096184004199E-2"/>
        <n v="1.3893879506527687E-2"/>
        <n v="3.680172620474715E-2"/>
        <n v="0.13236676063901195"/>
        <n v="9.0732842186894272E-2"/>
        <n v="1.1623036649214654E-2"/>
        <n v="8.9170182841068771E-2"/>
        <n v="1.0418537812107028E-2"/>
        <n v="6.2068965517241385E-2"/>
        <n v="3.3199771036061726E-2"/>
        <n v="0.11388455538221536"/>
        <n v="2.2176022176022197E-2"/>
        <n v="2.1978021978021883E-2"/>
        <n v="0.14058577405857739"/>
        <n v="9.5744680851063801E-2"/>
        <n v="9.4364543586733185E-2"/>
        <n v="0.10434029656889274"/>
        <n v="0.1116981132075472"/>
        <n v="8.579501669663489E-2"/>
        <n v="2.7595269382391516E-2"/>
        <n v="3.9882759342614905E-2"/>
        <n v="6.2799263351749485E-2"/>
        <n v="7.6848437803221439E-2"/>
        <n v="9.1294366943316288E-2"/>
        <n v="9.2024539877300554E-2"/>
        <n v="0.12928000000000006"/>
        <n v="6.779240129128393E-2"/>
        <n v="4.3805771236527999E-2"/>
        <n v="1.81437543614794E-2"/>
        <n v="2.0480443486295016E-2"/>
        <n v="7.1212121212121254E-2"/>
        <n v="0.13569576490924809"/>
        <n v="0.11002178649237471"/>
        <n v="7.4990531498548146E-2"/>
        <n v="0.10190369540873455"/>
        <n v="9.2416761615394319E-2"/>
        <n v="9.6527369040612057E-2"/>
        <n v="8.1971096896470044E-2"/>
        <n v="6.4693845427357149E-2"/>
        <n v="0.14473229706390323"/>
        <n v="0.11145364002845631"/>
        <n v="0.12987377279102383"/>
        <n v="6.4796694933681315E-2"/>
        <n v="5.2929521652986061E-2"/>
        <n v="0.14448783418443975"/>
        <n v="2.5236593059936932E-2"/>
        <n v="0.10354965156794431"/>
        <n v="0.11693242217160206"/>
        <n v="4.5621225194132919E-2"/>
        <n v="2.1120000000000003E-2"/>
        <n v="2.4392633228840076E-2"/>
        <n v="0.1471985854790584"/>
        <n v="3.5545708505924263E-2"/>
        <n v="0.10752935758692152"/>
        <n v="0.11078269094348552"/>
        <n v="8.1260720411663795E-2"/>
        <n v="5.2543226456269979E-2"/>
        <n v="0.13631783503670647"/>
        <n v="2.8344053199607637E-2"/>
        <n v="0.13116504854368938"/>
        <n v="1.365269461077845E-2"/>
        <n v="8.8035214085634236E-2"/>
        <n v="3.4456355283307892E-2"/>
        <n v="0.11224886584575515"/>
        <n v="9.1531755915317495E-2"/>
        <n v="5.9686888454011856E-2"/>
        <n v="0.12378976486860314"/>
        <n v="0.12052631578947363"/>
        <n v="3.4735812133072447E-2"/>
        <n v="4.6226415094339696E-2"/>
        <n v="4.3591411841249185E-2"/>
        <n v="2.8309741881765185E-2"/>
        <n v="3.5042050460552664E-2"/>
        <n v="7.7857005203314691E-2"/>
        <n v="0.12781638239629395"/>
        <n v="0.10641981885988272"/>
        <n v="7.892293407613743E-2"/>
        <n v="0.13101500097408925"/>
        <n v="3.0776350804119064E-2"/>
        <n v="2.6878771256171254E-2"/>
        <n v="0.14588859416445621"/>
        <n v="0.12300755033557051"/>
        <n v="3.33992094861661E-2"/>
        <n v="3.2801262936326916E-2"/>
        <n v="0.11511483977444631"/>
        <n v="8.629644426687974E-2"/>
        <n v="2.1448955168922014E-2"/>
        <n v="5.1376146788990919E-2"/>
        <n v="0.11168602948354985"/>
        <n v="3.4759748795092672E-2"/>
        <n v="7.9267399267399216E-2"/>
        <n v="6.1068702290076354E-2"/>
        <n v="0.13278388278388273"/>
        <n v="0.1458483754512635"/>
        <n v="9.7755917614509677E-2"/>
        <n v="6.6803699897225177E-2"/>
        <n v="0.12508505330006806"/>
        <n v="2.8165735567970224E-2"/>
        <n v="6.7600487210718707E-2"/>
        <n v="0.10107334525939178"/>
        <n v="0.1270706422998823"/>
        <n v="2.4790083966413475E-2"/>
        <n v="4.5112082596967799E-2"/>
        <n v="5.3411306042884896E-2"/>
        <n v="0.11001439440674483"/>
        <n v="9.5832323721831966E-2"/>
        <n v="0.12724792260945048"/>
        <n v="6.9890442009822362E-2"/>
        <n v="1.4856499718626823E-2"/>
        <n v="3.0048465266558959E-2"/>
        <n v="5.9259259259259206E-2"/>
        <n v="5.5135316859976483E-2"/>
        <n v="0.1123385939741751"/>
        <n v="9.2611709187435498E-2"/>
        <n v="0.14701042238069115"/>
        <n v="4.0738786279683373E-2"/>
        <n v="4.256465517241375E-2"/>
        <n v="0.14888232813159008"/>
        <n v="2.2424667133847182E-2"/>
        <n v="5.9368815748359574E-2"/>
        <n v="6.5785011868429902E-2"/>
        <n v="0.14886413280908689"/>
        <n v="0.11463414634146334"/>
        <n v="3.7353957544841256E-2"/>
        <n v="0.10745957224830475"/>
        <n v="1.4534883720930146E-2"/>
        <n v="6.0100548446069366E-2"/>
        <n v="9.0751944684529018E-2"/>
        <n v="9.7349579198593147E-2"/>
        <n v="0.10116258892937716"/>
        <n v="0.11452513966480442"/>
        <n v="8.4555382215288535E-2"/>
        <n v="5.515047063502599E-2"/>
        <n v="3.4870641169853819E-2"/>
        <n v="9.4434157499183116E-2"/>
        <n v="0.13574184496667838"/>
        <n v="7.8448578448578429E-2"/>
        <n v="5.7251328777524625E-2"/>
        <n v="3.1977427698095445E-2"/>
        <n v="9.7522522522522484E-2"/>
        <n v="5.9419881723458169E-2"/>
        <n v="6.4759036144578369E-2"/>
        <n v="0.10818713450292405"/>
        <n v="0.13481591828048523"/>
        <n v="0.14108472172988301"/>
        <n v="1.162942636874429E-2"/>
        <n v="6.0283687943262367E-2"/>
        <n v="2.9393627954779029E-2"/>
        <n v="0.11346465191581233"/>
        <n v="5.0489738805970123E-2"/>
        <n v="2.5105708245243202E-2"/>
        <n v="0.10811179277436937"/>
        <n v="0.12895858708891603"/>
        <n v="4.279700654817583E-2"/>
        <n v="2.4115755627009561E-2"/>
        <n v="3.7264404954227184E-2"/>
        <n v="3.7677304964538916E-2"/>
        <n v="6.6273932253313725E-2"/>
        <n v="5.7478632478632434E-2"/>
        <n v="5.4744525547445383E-2"/>
        <n v="4.9113233287858042E-2"/>
        <n v="5.8284135158899644E-2"/>
        <n v="1.0266159695817473E-2"/>
        <n v="0.11369730773356225"/>
        <n v="9.1403329935440106E-2"/>
        <n v="9.5577020843924776E-2"/>
        <n v="0.14483394833948343"/>
        <n v="5.0989345509893584E-2"/>
        <n v="6.9922308546059825E-2"/>
        <n v="0.12337141711765887"/>
        <n v="4.8300014592149457E-2"/>
        <n v="0.11897289586305274"/>
        <n v="7.5216688702805803E-2"/>
        <n v="4.004986753934861E-2"/>
        <n v="2.3070208255393371E-2"/>
        <n v="5.5798156234837387E-2"/>
        <n v="7.8999418266434043E-2"/>
        <n v="3.1609636335737337E-2"/>
        <n v="3.2302137210891015E-2"/>
        <n v="2.7176416397973278E-2"/>
        <n v="0.12460110240789087"/>
        <n v="0.1363636363636363"/>
        <n v="0.13206650831353925"/>
        <n v="0.11378326996197717"/>
      </sharedItems>
    </cacheField>
    <cacheField name="Total Cost Savings" numFmtId="0">
      <sharedItems containsSemiMixedTypes="0" containsString="0" containsNumber="1" minValue="43.020000000000358" maxValue="59399.999999999978"/>
    </cacheField>
    <cacheField name="Months (Delivery_Date)" numFmtId="0" databaseField="0">
      <fieldGroup base="3">
        <rangePr groupBy="months" startDate="2022-01-06T00:00:00" endDate="2024-01-13T00:00:00"/>
        <groupItems count="14">
          <s v="&lt;1/6/2022"/>
          <s v="Jan"/>
          <s v="Feb"/>
          <s v="Mar"/>
          <s v="Apr"/>
          <s v="May"/>
          <s v="Jun"/>
          <s v="Jul"/>
          <s v="Aug"/>
          <s v="Sep"/>
          <s v="Oct"/>
          <s v="Nov"/>
          <s v="Dec"/>
          <s v="&gt;1/13/2024"/>
        </groupItems>
      </fieldGroup>
    </cacheField>
    <cacheField name="Quarters (Delivery_Date)" numFmtId="0" databaseField="0">
      <fieldGroup base="3">
        <rangePr groupBy="quarters" startDate="2022-01-06T00:00:00" endDate="2024-01-13T00:00:00"/>
        <groupItems count="6">
          <s v="&lt;1/6/2022"/>
          <s v="Qtr1"/>
          <s v="Qtr2"/>
          <s v="Qtr3"/>
          <s v="Qtr4"/>
          <s v="&gt;1/13/2024"/>
        </groupItems>
      </fieldGroup>
    </cacheField>
    <cacheField name="Years (Delivery_Date)" numFmtId="0" databaseField="0">
      <fieldGroup base="3">
        <rangePr groupBy="years" startDate="2022-01-06T00:00:00" endDate="2024-01-13T00:00:00"/>
        <groupItems count="5">
          <s v="&lt;1/6/2022"/>
          <s v="2022"/>
          <s v="2023"/>
          <s v="2024"/>
          <s v="&gt;1/13/2024"/>
        </groupItems>
      </fieldGroup>
    </cacheField>
  </cacheFields>
  <extLst>
    <ext xmlns:x14="http://schemas.microsoft.com/office/spreadsheetml/2009/9/main" uri="{725AE2AE-9491-48be-B2B4-4EB974FC3084}">
      <x14:pivotCacheDefinition pivotCacheId="1060723039"/>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ra kashmery" refreshedDate="46316.721418981484" createdVersion="8" refreshedVersion="8" minRefreshableVersion="3" recordCount="780" xr:uid="{103B4971-BF96-42AF-BE2F-E0127AC944F7}">
  <cacheSource type="worksheet">
    <worksheetSource ref="A1:K1048576" sheet="Procurement KPI Analysis Datase"/>
  </cacheSource>
  <cacheFields count="17">
    <cacheField name="PO_ID" numFmtId="0">
      <sharedItems containsBlank="1"/>
    </cacheField>
    <cacheField name="Supplier" numFmtId="0">
      <sharedItems containsBlank="1"/>
    </cacheField>
    <cacheField name="Order_Date" numFmtId="0">
      <sharedItems containsNonDate="0" containsDate="1" containsString="0" containsBlank="1" minDate="2022-01-01T00:00:00" maxDate="2024-01-02T00:00:00" count="477">
        <d v="2023-10-17T00:00:00"/>
        <d v="2022-04-25T00:00:00"/>
        <d v="2022-01-26T00:00:00"/>
        <d v="2022-10-09T00:00:00"/>
        <d v="2022-09-08T00:00:00"/>
        <d v="2022-08-17T00:00:00"/>
        <d v="2022-05-23T00:00:00"/>
        <d v="2022-04-15T00:00:00"/>
        <d v="2023-11-24T00:00:00"/>
        <d v="2023-07-13T00:00:00"/>
        <d v="2022-03-31T00:00:00"/>
        <d v="2023-08-28T00:00:00"/>
        <d v="2023-03-09T00:00:00"/>
        <d v="2022-02-02T00:00:00"/>
        <d v="2022-01-31T00:00:00"/>
        <d v="2022-04-06T00:00:00"/>
        <d v="2022-08-12T00:00:00"/>
        <d v="2022-08-27T00:00:00"/>
        <d v="2023-06-02T00:00:00"/>
        <d v="2023-09-09T00:00:00"/>
        <d v="2022-01-28T00:00:00"/>
        <d v="2023-07-29T00:00:00"/>
        <d v="2022-07-23T00:00:00"/>
        <d v="2023-10-28T00:00:00"/>
        <d v="2023-12-20T00:00:00"/>
        <d v="2023-03-06T00:00:00"/>
        <d v="2022-08-14T00:00:00"/>
        <d v="2023-04-05T00:00:00"/>
        <d v="2023-08-27T00:00:00"/>
        <d v="2022-10-12T00:00:00"/>
        <d v="2022-01-07T00:00:00"/>
        <d v="2022-06-13T00:00:00"/>
        <d v="2023-12-16T00:00:00"/>
        <d v="2022-12-15T00:00:00"/>
        <d v="2022-06-09T00:00:00"/>
        <d v="2022-08-09T00:00:00"/>
        <d v="2022-12-11T00:00:00"/>
        <d v="2022-04-05T00:00:00"/>
        <d v="2023-01-25T00:00:00"/>
        <d v="2022-04-10T00:00:00"/>
        <d v="2023-01-03T00:00:00"/>
        <d v="2022-12-19T00:00:00"/>
        <d v="2023-09-11T00:00:00"/>
        <d v="2022-09-28T00:00:00"/>
        <d v="2022-02-14T00:00:00"/>
        <d v="2023-04-16T00:00:00"/>
        <d v="2023-07-04T00:00:00"/>
        <d v="2022-05-08T00:00:00"/>
        <d v="2023-01-23T00:00:00"/>
        <d v="2022-03-22T00:00:00"/>
        <d v="2023-07-20T00:00:00"/>
        <d v="2022-10-28T00:00:00"/>
        <d v="2023-10-06T00:00:00"/>
        <d v="2023-09-26T00:00:00"/>
        <d v="2023-01-06T00:00:00"/>
        <d v="2023-08-15T00:00:00"/>
        <d v="2022-07-16T00:00:00"/>
        <d v="2023-12-23T00:00:00"/>
        <d v="2022-03-13T00:00:00"/>
        <d v="2022-02-16T00:00:00"/>
        <d v="2023-11-09T00:00:00"/>
        <d v="2022-08-22T00:00:00"/>
        <d v="2022-10-24T00:00:00"/>
        <d v="2022-03-23T00:00:00"/>
        <d v="2022-04-14T00:00:00"/>
        <d v="2023-04-10T00:00:00"/>
        <d v="2023-10-13T00:00:00"/>
        <d v="2023-01-09T00:00:00"/>
        <d v="2022-06-16T00:00:00"/>
        <d v="2023-01-15T00:00:00"/>
        <d v="2022-12-30T00:00:00"/>
        <d v="2022-08-03T00:00:00"/>
        <d v="2023-11-18T00:00:00"/>
        <d v="2022-10-01T00:00:00"/>
        <d v="2023-12-01T00:00:00"/>
        <d v="2023-10-26T00:00:00"/>
        <d v="2022-03-15T00:00:00"/>
        <d v="2023-09-16T00:00:00"/>
        <d v="2022-06-25T00:00:00"/>
        <d v="2023-07-01T00:00:00"/>
        <d v="2022-06-17T00:00:00"/>
        <d v="2023-04-19T00:00:00"/>
        <d v="2023-01-24T00:00:00"/>
        <d v="2022-10-04T00:00:00"/>
        <d v="2023-10-18T00:00:00"/>
        <d v="2023-12-06T00:00:00"/>
        <d v="2023-07-25T00:00:00"/>
        <d v="2022-08-13T00:00:00"/>
        <d v="2023-12-03T00:00:00"/>
        <d v="2022-11-29T00:00:00"/>
        <d v="2022-02-27T00:00:00"/>
        <d v="2022-08-23T00:00:00"/>
        <d v="2022-11-20T00:00:00"/>
        <d v="2023-02-15T00:00:00"/>
        <d v="2022-10-02T00:00:00"/>
        <d v="2022-03-09T00:00:00"/>
        <d v="2022-08-05T00:00:00"/>
        <d v="2023-08-04T00:00:00"/>
        <d v="2022-11-19T00:00:00"/>
        <d v="2022-08-06T00:00:00"/>
        <d v="2023-11-03T00:00:00"/>
        <d v="2023-05-27T00:00:00"/>
        <d v="2023-02-10T00:00:00"/>
        <d v="2023-10-21T00:00:00"/>
        <d v="2023-04-15T00:00:00"/>
        <d v="2022-05-27T00:00:00"/>
        <d v="2022-09-29T00:00:00"/>
        <d v="2022-09-10T00:00:00"/>
        <d v="2023-07-06T00:00:00"/>
        <d v="2022-09-27T00:00:00"/>
        <d v="2023-08-22T00:00:00"/>
        <d v="2023-03-15T00:00:00"/>
        <d v="2023-08-21T00:00:00"/>
        <d v="2023-02-13T00:00:00"/>
        <d v="2022-05-22T00:00:00"/>
        <d v="2023-06-06T00:00:00"/>
        <d v="2023-05-21T00:00:00"/>
        <d v="2022-04-04T00:00:00"/>
        <d v="2022-02-18T00:00:00"/>
        <d v="2022-04-23T00:00:00"/>
        <d v="2022-06-06T00:00:00"/>
        <d v="2023-10-05T00:00:00"/>
        <d v="2023-11-28T00:00:00"/>
        <d v="2023-09-03T00:00:00"/>
        <d v="2022-03-07T00:00:00"/>
        <d v="2023-01-30T00:00:00"/>
        <d v="2023-01-26T00:00:00"/>
        <d v="2023-04-25T00:00:00"/>
        <d v="2023-06-26T00:00:00"/>
        <d v="2022-09-15T00:00:00"/>
        <d v="2023-07-21T00:00:00"/>
        <d v="2022-01-12T00:00:00"/>
        <d v="2022-04-28T00:00:00"/>
        <d v="2023-11-30T00:00:00"/>
        <d v="2023-10-19T00:00:00"/>
        <d v="2023-03-22T00:00:00"/>
        <d v="2022-06-11T00:00:00"/>
        <d v="2022-01-04T00:00:00"/>
        <d v="2023-05-28T00:00:00"/>
        <d v="2022-07-02T00:00:00"/>
        <d v="2023-06-04T00:00:00"/>
        <d v="2022-04-19T00:00:00"/>
        <d v="2023-10-03T00:00:00"/>
        <d v="2022-11-02T00:00:00"/>
        <d v="2023-01-18T00:00:00"/>
        <d v="2022-06-15T00:00:00"/>
        <d v="2023-07-07T00:00:00"/>
        <d v="2023-06-28T00:00:00"/>
        <d v="2022-01-01T00:00:00"/>
        <d v="2023-09-06T00:00:00"/>
        <d v="2022-11-28T00:00:00"/>
        <d v="2023-05-16T00:00:00"/>
        <d v="2022-01-20T00:00:00"/>
        <d v="2023-01-07T00:00:00"/>
        <d v="2022-11-11T00:00:00"/>
        <d v="2022-09-03T00:00:00"/>
        <d v="2022-03-01T00:00:00"/>
        <d v="2022-09-04T00:00:00"/>
        <d v="2022-03-29T00:00:00"/>
        <d v="2023-05-13T00:00:00"/>
        <d v="2022-03-12T00:00:00"/>
        <d v="2023-06-30T00:00:00"/>
        <d v="2022-05-09T00:00:00"/>
        <d v="2022-05-12T00:00:00"/>
        <d v="2023-11-07T00:00:00"/>
        <d v="2023-05-02T00:00:00"/>
        <d v="2023-07-17T00:00:00"/>
        <d v="2022-06-19T00:00:00"/>
        <d v="2023-06-25T00:00:00"/>
        <d v="2023-09-14T00:00:00"/>
        <d v="2023-03-10T00:00:00"/>
        <d v="2023-12-08T00:00:00"/>
        <d v="2022-07-25T00:00:00"/>
        <d v="2024-01-01T00:00:00"/>
        <d v="2022-11-16T00:00:00"/>
        <d v="2023-11-19T00:00:00"/>
        <d v="2023-03-25T00:00:00"/>
        <d v="2023-06-14T00:00:00"/>
        <d v="2023-04-08T00:00:00"/>
        <d v="2022-05-04T00:00:00"/>
        <d v="2022-09-11T00:00:00"/>
        <d v="2022-08-19T00:00:00"/>
        <d v="2022-12-13T00:00:00"/>
        <d v="2022-01-22T00:00:00"/>
        <d v="2023-08-26T00:00:00"/>
        <d v="2023-07-22T00:00:00"/>
        <d v="2022-08-24T00:00:00"/>
        <d v="2022-01-08T00:00:00"/>
        <d v="2022-03-14T00:00:00"/>
        <d v="2023-12-26T00:00:00"/>
        <d v="2023-10-09T00:00:00"/>
        <d v="2022-03-02T00:00:00"/>
        <d v="2022-03-11T00:00:00"/>
        <d v="2022-12-05T00:00:00"/>
        <d v="2023-06-11T00:00:00"/>
        <d v="2022-09-01T00:00:00"/>
        <d v="2022-10-13T00:00:00"/>
        <d v="2023-11-17T00:00:00"/>
        <d v="2022-08-08T00:00:00"/>
        <d v="2022-05-16T00:00:00"/>
        <d v="2023-08-08T00:00:00"/>
        <d v="2023-08-14T00:00:00"/>
        <d v="2023-04-30T00:00:00"/>
        <d v="2022-09-06T00:00:00"/>
        <d v="2023-02-21T00:00:00"/>
        <d v="2022-07-14T00:00:00"/>
        <d v="2022-04-07T00:00:00"/>
        <d v="2023-11-06T00:00:00"/>
        <d v="2023-03-18T00:00:00"/>
        <d v="2022-12-29T00:00:00"/>
        <d v="2023-02-25T00:00:00"/>
        <d v="2023-04-24T00:00:00"/>
        <d v="2022-02-25T00:00:00"/>
        <d v="2023-11-21T00:00:00"/>
        <d v="2023-11-01T00:00:00"/>
        <d v="2023-10-24T00:00:00"/>
        <d v="2022-04-11T00:00:00"/>
        <d v="2022-03-04T00:00:00"/>
        <d v="2023-02-17T00:00:00"/>
        <d v="2022-12-14T00:00:00"/>
        <d v="2022-04-22T00:00:00"/>
        <d v="2022-09-12T00:00:00"/>
        <d v="2022-05-24T00:00:00"/>
        <d v="2022-07-07T00:00:00"/>
        <d v="2022-09-13T00:00:00"/>
        <d v="2022-03-19T00:00:00"/>
        <d v="2023-03-30T00:00:00"/>
        <d v="2023-07-18T00:00:00"/>
        <d v="2022-02-21T00:00:00"/>
        <d v="2023-10-30T00:00:00"/>
        <d v="2023-07-08T00:00:00"/>
        <d v="2022-01-16T00:00:00"/>
        <d v="2022-08-31T00:00:00"/>
        <d v="2022-06-20T00:00:00"/>
        <d v="2023-05-08T00:00:00"/>
        <d v="2022-08-07T00:00:00"/>
        <d v="2022-06-18T00:00:00"/>
        <d v="2022-01-03T00:00:00"/>
        <d v="2023-02-04T00:00:00"/>
        <d v="2023-04-11T00:00:00"/>
        <d v="2022-10-20T00:00:00"/>
        <d v="2023-12-15T00:00:00"/>
        <d v="2023-07-24T00:00:00"/>
        <d v="2023-05-14T00:00:00"/>
        <d v="2022-06-08T00:00:00"/>
        <d v="2022-10-31T00:00:00"/>
        <d v="2022-08-11T00:00:00"/>
        <d v="2023-08-17T00:00:00"/>
        <d v="2023-07-10T00:00:00"/>
        <d v="2022-11-18T00:00:00"/>
        <d v="2022-02-28T00:00:00"/>
        <d v="2023-05-04T00:00:00"/>
        <d v="2023-05-30T00:00:00"/>
        <d v="2023-06-05T00:00:00"/>
        <d v="2022-03-24T00:00:00"/>
        <d v="2022-07-10T00:00:00"/>
        <d v="2023-09-02T00:00:00"/>
        <d v="2023-11-23T00:00:00"/>
        <d v="2022-08-29T00:00:00"/>
        <d v="2023-02-18T00:00:00"/>
        <d v="2022-05-03T00:00:00"/>
        <d v="2023-08-07T00:00:00"/>
        <d v="2023-08-16T00:00:00"/>
        <d v="2023-09-01T00:00:00"/>
        <d v="2022-02-10T00:00:00"/>
        <d v="2023-09-27T00:00:00"/>
        <d v="2022-03-25T00:00:00"/>
        <d v="2023-11-05T00:00:00"/>
        <d v="2023-08-02T00:00:00"/>
        <d v="2023-06-20T00:00:00"/>
        <d v="2022-09-25T00:00:00"/>
        <d v="2022-07-29T00:00:00"/>
        <d v="2022-09-02T00:00:00"/>
        <d v="2022-05-15T00:00:00"/>
        <d v="2023-10-23T00:00:00"/>
        <d v="2022-11-04T00:00:00"/>
        <d v="2023-04-14T00:00:00"/>
        <d v="2022-03-16T00:00:00"/>
        <d v="2022-01-10T00:00:00"/>
        <d v="2023-09-29T00:00:00"/>
        <d v="2023-07-31T00:00:00"/>
        <d v="2022-04-13T00:00:00"/>
        <d v="2022-03-17T00:00:00"/>
        <d v="2023-07-05T00:00:00"/>
        <d v="2023-06-03T00:00:00"/>
        <d v="2022-12-24T00:00:00"/>
        <d v="2023-01-14T00:00:00"/>
        <d v="2022-10-19T00:00:00"/>
        <d v="2023-07-11T00:00:00"/>
        <d v="2023-12-22T00:00:00"/>
        <d v="2022-11-06T00:00:00"/>
        <d v="2023-09-19T00:00:00"/>
        <d v="2022-01-09T00:00:00"/>
        <d v="2023-11-15T00:00:00"/>
        <d v="2022-11-03T00:00:00"/>
        <d v="2023-11-11T00:00:00"/>
        <d v="2022-04-17T00:00:00"/>
        <d v="2022-05-18T00:00:00"/>
        <d v="2022-04-29T00:00:00"/>
        <d v="2022-04-20T00:00:00"/>
        <d v="2022-10-06T00:00:00"/>
        <d v="2022-10-16T00:00:00"/>
        <d v="2023-09-12T00:00:00"/>
        <d v="2022-08-04T00:00:00"/>
        <d v="2022-12-18T00:00:00"/>
        <d v="2022-07-28T00:00:00"/>
        <d v="2023-12-05T00:00:00"/>
        <d v="2023-10-12T00:00:00"/>
        <d v="2022-02-22T00:00:00"/>
        <d v="2022-10-11T00:00:00"/>
        <d v="2022-02-15T00:00:00"/>
        <d v="2022-12-08T00:00:00"/>
        <d v="2022-05-14T00:00:00"/>
        <d v="2023-10-15T00:00:00"/>
        <d v="2022-09-26T00:00:00"/>
        <d v="2023-03-29T00:00:00"/>
        <d v="2023-07-19T00:00:00"/>
        <d v="2023-12-24T00:00:00"/>
        <d v="2023-03-14T00:00:00"/>
        <d v="2023-12-09T00:00:00"/>
        <d v="2022-06-02T00:00:00"/>
        <d v="2022-02-06T00:00:00"/>
        <d v="2023-08-20T00:00:00"/>
        <d v="2022-06-01T00:00:00"/>
        <d v="2023-03-17T00:00:00"/>
        <d v="2022-05-11T00:00:00"/>
        <d v="2022-02-12T00:00:00"/>
        <d v="2022-11-12T00:00:00"/>
        <d v="2023-01-02T00:00:00"/>
        <d v="2023-11-14T00:00:00"/>
        <d v="2022-04-16T00:00:00"/>
        <d v="2023-07-28T00:00:00"/>
        <d v="2023-09-28T00:00:00"/>
        <d v="2022-07-01T00:00:00"/>
        <d v="2023-02-27T00:00:00"/>
        <d v="2022-07-03T00:00:00"/>
        <d v="2022-12-07T00:00:00"/>
        <d v="2023-02-26T00:00:00"/>
        <d v="2022-04-21T00:00:00"/>
        <d v="2023-01-27T00:00:00"/>
        <d v="2022-02-09T00:00:00"/>
        <d v="2023-04-27T00:00:00"/>
        <d v="2022-08-16T00:00:00"/>
        <d v="2022-07-24T00:00:00"/>
        <d v="2023-04-17T00:00:00"/>
        <d v="2022-12-25T00:00:00"/>
        <d v="2022-11-09T00:00:00"/>
        <d v="2022-01-25T00:00:00"/>
        <d v="2022-07-17T00:00:00"/>
        <d v="2022-12-03T00:00:00"/>
        <d v="2022-12-26T00:00:00"/>
        <d v="2023-02-14T00:00:00"/>
        <d v="2023-11-27T00:00:00"/>
        <d v="2022-12-06T00:00:00"/>
        <d v="2022-01-29T00:00:00"/>
        <d v="2023-08-18T00:00:00"/>
        <d v="2023-03-21T00:00:00"/>
        <d v="2022-12-20T00:00:00"/>
        <d v="2023-03-23T00:00:00"/>
        <d v="2023-09-13T00:00:00"/>
        <d v="2023-06-08T00:00:00"/>
        <d v="2022-09-18T00:00:00"/>
        <d v="2023-12-27T00:00:00"/>
        <d v="2022-01-02T00:00:00"/>
        <d v="2023-06-17T00:00:00"/>
        <d v="2022-07-21T00:00:00"/>
        <d v="2023-01-08T00:00:00"/>
        <d v="2023-11-12T00:00:00"/>
        <d v="2023-10-01T00:00:00"/>
        <d v="2022-11-13T00:00:00"/>
        <d v="2023-02-23T00:00:00"/>
        <d v="2022-12-01T00:00:00"/>
        <d v="2022-10-30T00:00:00"/>
        <d v="2023-03-07T00:00:00"/>
        <d v="2023-11-25T00:00:00"/>
        <d v="2022-06-28T00:00:00"/>
        <d v="2023-09-23T00:00:00"/>
        <d v="2023-08-06T00:00:00"/>
        <d v="2022-11-05T00:00:00"/>
        <d v="2023-02-20T00:00:00"/>
        <d v="2023-07-16T00:00:00"/>
        <d v="2022-11-08T00:00:00"/>
        <d v="2022-10-21T00:00:00"/>
        <d v="2023-11-02T00:00:00"/>
        <d v="2022-11-26T00:00:00"/>
        <d v="2023-04-22T00:00:00"/>
        <d v="2022-06-23T00:00:00"/>
        <d v="2022-03-28T00:00:00"/>
        <d v="2022-10-18T00:00:00"/>
        <d v="2023-06-12T00:00:00"/>
        <d v="2023-10-11T00:00:00"/>
        <d v="2022-12-10T00:00:00"/>
        <d v="2023-11-20T00:00:00"/>
        <d v="2022-11-14T00:00:00"/>
        <d v="2022-05-31T00:00:00"/>
        <d v="2022-02-17T00:00:00"/>
        <d v="2023-09-18T00:00:00"/>
        <d v="2023-04-12T00:00:00"/>
        <d v="2023-03-01T00:00:00"/>
        <d v="2023-10-07T00:00:00"/>
        <d v="2023-08-13T00:00:00"/>
        <d v="2022-07-19T00:00:00"/>
        <d v="2023-01-29T00:00:00"/>
        <d v="2023-05-22T00:00:00"/>
        <d v="2022-09-07T00:00:00"/>
        <d v="2022-01-06T00:00:00"/>
        <d v="2023-03-12T00:00:00"/>
        <d v="2022-06-30T00:00:00"/>
        <d v="2023-12-14T00:00:00"/>
        <d v="2023-06-15T00:00:00"/>
        <d v="2023-04-21T00:00:00"/>
        <d v="2022-05-05T00:00:00"/>
        <d v="2023-04-13T00:00:00"/>
        <d v="2022-05-17T00:00:00"/>
        <d v="2023-07-27T00:00:00"/>
        <d v="2022-11-21T00:00:00"/>
        <d v="2023-09-20T00:00:00"/>
        <d v="2023-06-01T00:00:00"/>
        <d v="2023-03-13T00:00:00"/>
        <d v="2023-04-02T00:00:00"/>
        <d v="2022-06-12T00:00:00"/>
        <d v="2023-04-06T00:00:00"/>
        <d v="2022-09-23T00:00:00"/>
        <d v="2023-06-18T00:00:00"/>
        <d v="2023-05-12T00:00:00"/>
        <d v="2023-10-04T00:00:00"/>
        <d v="2023-03-27T00:00:00"/>
        <d v="2022-03-21T00:00:00"/>
        <d v="2022-11-24T00:00:00"/>
        <d v="2022-06-04T00:00:00"/>
        <d v="2022-08-25T00:00:00"/>
        <d v="2023-01-28T00:00:00"/>
        <d v="2023-12-12T00:00:00"/>
        <d v="2023-12-25T00:00:00"/>
        <d v="2023-02-22T00:00:00"/>
        <d v="2023-04-23T00:00:00"/>
        <d v="2023-03-02T00:00:00"/>
        <d v="2022-03-05T00:00:00"/>
        <d v="2022-07-31T00:00:00"/>
        <d v="2023-02-03T00:00:00"/>
        <d v="2022-01-21T00:00:00"/>
        <d v="2022-12-27T00:00:00"/>
        <d v="2023-07-14T00:00:00"/>
        <d v="2023-09-10T00:00:00"/>
        <d v="2023-05-15T00:00:00"/>
        <d v="2022-10-07T00:00:00"/>
        <d v="2022-01-30T00:00:00"/>
        <d v="2023-11-16T00:00:00"/>
        <d v="2023-02-19T00:00:00"/>
        <d v="2023-09-30T00:00:00"/>
        <d v="2023-02-08T00:00:00"/>
        <d v="2023-08-30T00:00:00"/>
        <d v="2023-08-01T00:00:00"/>
        <d v="2023-11-10T00:00:00"/>
        <d v="2022-03-27T00:00:00"/>
        <d v="2022-05-19T00:00:00"/>
        <d v="2023-04-18T00:00:00"/>
        <d v="2022-07-06T00:00:00"/>
        <d v="2022-09-24T00:00:00"/>
        <d v="2022-12-02T00:00:00"/>
        <d v="2022-12-12T00:00:00"/>
        <d v="2023-03-08T00:00:00"/>
        <d v="2022-09-16T00:00:00"/>
        <d v="2022-02-23T00:00:00"/>
        <d v="2022-08-18T00:00:00"/>
        <d v="2022-02-11T00:00:00"/>
        <d v="2022-02-01T00:00:00"/>
        <d v="2022-05-10T00:00:00"/>
        <d v="2023-12-18T00:00:00"/>
        <d v="2022-09-20T00:00:00"/>
        <d v="2023-01-13T00:00:00"/>
        <d v="2022-06-21T00:00:00"/>
        <d v="2022-11-15T00:00:00"/>
        <d v="2022-01-27T00:00:00"/>
        <d v="2023-01-20T00:00:00"/>
        <d v="2023-02-11T00:00:00"/>
        <m/>
      </sharedItems>
      <fieldGroup par="16"/>
    </cacheField>
    <cacheField name="Delivery_Date" numFmtId="0">
      <sharedItems containsNonDate="0" containsDate="1" containsString="0" containsBlank="1" minDate="2022-01-06T00:00:00" maxDate="2024-01-13T00:00:00" count="450">
        <d v="2023-10-25T00:00:00"/>
        <d v="2022-05-05T00:00:00"/>
        <d v="2022-02-15T00:00:00"/>
        <d v="2022-10-28T00:00:00"/>
        <d v="2022-09-20T00:00:00"/>
        <d v="2022-08-29T00:00:00"/>
        <d v="2022-06-03T00:00:00"/>
        <d v="2022-04-29T00:00:00"/>
        <d v="2023-11-28T00:00:00"/>
        <d v="2023-07-25T00:00:00"/>
        <d v="2022-04-15T00:00:00"/>
        <d v="2023-09-11T00:00:00"/>
        <d v="2023-03-26T00:00:00"/>
        <m/>
        <d v="2022-02-18T00:00:00"/>
        <d v="2022-04-21T00:00:00"/>
        <d v="2022-08-31T00:00:00"/>
        <d v="2022-09-04T00:00:00"/>
        <d v="2023-06-05T00:00:00"/>
        <d v="2023-09-24T00:00:00"/>
        <d v="2022-02-12T00:00:00"/>
        <d v="2023-08-11T00:00:00"/>
        <d v="2022-08-08T00:00:00"/>
        <d v="2023-11-03T00:00:00"/>
        <d v="2024-01-01T00:00:00"/>
        <d v="2023-07-24T00:00:00"/>
        <d v="2022-08-23T00:00:00"/>
        <d v="2023-04-22T00:00:00"/>
        <d v="2022-10-26T00:00:00"/>
        <d v="2022-01-15T00:00:00"/>
        <d v="2022-06-29T00:00:00"/>
        <d v="2023-12-17T00:00:00"/>
        <d v="2023-03-17T00:00:00"/>
        <d v="2022-12-23T00:00:00"/>
        <d v="2022-10-31T00:00:00"/>
        <d v="2022-06-27T00:00:00"/>
        <d v="2022-04-27T00:00:00"/>
        <d v="2022-04-14T00:00:00"/>
        <d v="2023-02-02T00:00:00"/>
        <d v="2022-04-17T00:00:00"/>
        <d v="2023-01-21T00:00:00"/>
        <d v="2023-09-18T00:00:00"/>
        <d v="2022-10-14T00:00:00"/>
        <d v="2022-03-05T00:00:00"/>
        <d v="2023-07-14T00:00:00"/>
        <d v="2022-03-28T00:00:00"/>
        <d v="2023-08-07T00:00:00"/>
        <d v="2022-10-30T00:00:00"/>
        <d v="2023-10-01T00:00:00"/>
        <d v="2023-01-22T00:00:00"/>
        <d v="2023-08-16T00:00:00"/>
        <d v="2022-08-01T00:00:00"/>
        <d v="2024-01-03T00:00:00"/>
        <d v="2022-03-15T00:00:00"/>
        <d v="2022-03-04T00:00:00"/>
        <d v="2023-11-12T00:00:00"/>
        <d v="2022-08-25T00:00:00"/>
        <d v="2022-04-11T00:00:00"/>
        <d v="2022-04-22T00:00:00"/>
        <d v="2023-02-08T00:00:00"/>
        <d v="2022-11-01T00:00:00"/>
        <d v="2023-04-27T00:00:00"/>
        <d v="2023-10-28T00:00:00"/>
        <d v="2023-01-28T00:00:00"/>
        <d v="2023-02-04T00:00:00"/>
        <d v="2023-01-03T00:00:00"/>
        <d v="2023-11-25T00:00:00"/>
        <d v="2022-10-04T00:00:00"/>
        <d v="2023-12-26T00:00:00"/>
        <d v="2023-12-07T00:00:00"/>
        <d v="2023-11-10T00:00:00"/>
        <d v="2022-03-31T00:00:00"/>
        <d v="2023-10-23T00:00:00"/>
        <d v="2022-07-10T00:00:00"/>
        <d v="2023-07-09T00:00:00"/>
        <d v="2022-07-06T00:00:00"/>
        <d v="2023-04-26T00:00:00"/>
        <d v="2023-02-11T00:00:00"/>
        <d v="2022-10-09T00:00:00"/>
        <d v="2023-12-09T00:00:00"/>
        <d v="2023-08-04T00:00:00"/>
        <d v="2022-09-01T00:00:00"/>
        <d v="2022-12-14T00:00:00"/>
        <d v="2022-02-22T00:00:00"/>
        <d v="2022-12-10T00:00:00"/>
        <d v="2023-03-01T00:00:00"/>
        <d v="2022-10-22T00:00:00"/>
        <d v="2022-03-12T00:00:00"/>
        <d v="2022-08-24T00:00:00"/>
        <d v="2023-08-05T00:00:00"/>
        <d v="2022-08-15T00:00:00"/>
        <d v="2023-11-09T00:00:00"/>
        <d v="2023-06-11T00:00:00"/>
        <d v="2023-05-01T00:00:00"/>
        <d v="2022-10-13T00:00:00"/>
        <d v="2022-05-27T00:00:00"/>
        <d v="2022-09-21T00:00:00"/>
        <d v="2023-08-14T00:00:00"/>
        <d v="2023-07-19T00:00:00"/>
        <d v="2022-10-15T00:00:00"/>
        <d v="2023-08-25T00:00:00"/>
        <d v="2023-09-03T00:00:00"/>
        <d v="2023-02-14T00:00:00"/>
        <d v="2023-01-24T00:00:00"/>
        <d v="2023-06-22T00:00:00"/>
        <d v="2023-05-23T00:00:00"/>
        <d v="2022-02-28T00:00:00"/>
        <d v="2022-05-09T00:00:00"/>
        <d v="2022-06-26T00:00:00"/>
        <d v="2023-10-11T00:00:00"/>
        <d v="2022-06-14T00:00:00"/>
        <d v="2023-12-01T00:00:00"/>
        <d v="2023-03-13T00:00:00"/>
        <d v="2023-09-07T00:00:00"/>
        <d v="2023-02-09T00:00:00"/>
        <d v="2023-09-19T00:00:00"/>
        <d v="2022-09-22T00:00:00"/>
        <d v="2022-01-17T00:00:00"/>
        <d v="2022-05-12T00:00:00"/>
        <d v="2023-07-05T00:00:00"/>
        <d v="2022-10-11T00:00:00"/>
        <d v="2023-11-07T00:00:00"/>
        <d v="2022-04-30T00:00:00"/>
        <d v="2022-11-13T00:00:00"/>
        <d v="2023-04-09T00:00:00"/>
        <d v="2022-06-24T00:00:00"/>
        <d v="2023-04-21T00:00:00"/>
        <d v="2022-01-12T00:00:00"/>
        <d v="2022-10-05T00:00:00"/>
        <d v="2022-07-18T00:00:00"/>
        <d v="2023-06-17T00:00:00"/>
        <d v="2022-04-24T00:00:00"/>
        <d v="2023-10-05T00:00:00"/>
        <d v="2022-11-21T00:00:00"/>
        <d v="2023-10-21T00:00:00"/>
        <d v="2023-06-19T00:00:00"/>
        <d v="2022-07-28T00:00:00"/>
        <d v="2022-06-11T00:00:00"/>
        <d v="2023-01-27T00:00:00"/>
        <d v="2022-06-28T00:00:00"/>
        <d v="2023-07-18T00:00:00"/>
        <d v="2023-07-16T00:00:00"/>
        <d v="2023-09-22T00:00:00"/>
        <d v="2022-11-30T00:00:00"/>
        <d v="2023-05-24T00:00:00"/>
        <d v="2022-01-30T00:00:00"/>
        <d v="2022-09-07T00:00:00"/>
        <d v="2022-03-11T00:00:00"/>
        <d v="2023-08-06T00:00:00"/>
        <d v="2022-04-03T00:00:00"/>
        <d v="2022-04-06T00:00:00"/>
        <d v="2023-06-01T00:00:00"/>
        <d v="2022-03-18T00:00:00"/>
        <d v="2023-07-03T00:00:00"/>
        <d v="2022-05-22T00:00:00"/>
        <d v="2022-05-20T00:00:00"/>
        <d v="2023-11-26T00:00:00"/>
        <d v="2023-05-17T00:00:00"/>
        <d v="2023-08-01T00:00:00"/>
        <d v="2022-06-20T00:00:00"/>
        <d v="2023-09-20T00:00:00"/>
        <d v="2023-03-22T00:00:00"/>
        <d v="2023-07-21T00:00:00"/>
        <d v="2023-12-23T00:00:00"/>
        <d v="2022-11-20T00:00:00"/>
        <d v="2023-03-04T00:00:00"/>
        <d v="2023-11-29T00:00:00"/>
        <d v="2023-01-31T00:00:00"/>
        <d v="2023-04-13T00:00:00"/>
        <d v="2023-06-16T00:00:00"/>
        <d v="2022-05-14T00:00:00"/>
        <d v="2022-09-19T00:00:00"/>
        <d v="2022-03-14T00:00:00"/>
        <d v="2022-12-18T00:00:00"/>
        <d v="2022-01-24T00:00:00"/>
        <d v="2023-09-10T00:00:00"/>
        <d v="2023-08-03T00:00:00"/>
        <d v="2022-08-27T00:00:00"/>
        <d v="2022-08-28T00:00:00"/>
        <d v="2022-01-13T00:00:00"/>
        <d v="2022-03-26T00:00:00"/>
        <d v="2024-01-04T00:00:00"/>
        <d v="2023-10-18T00:00:00"/>
        <d v="2022-02-13T00:00:00"/>
        <d v="2022-12-20T00:00:00"/>
        <d v="2022-09-14T00:00:00"/>
        <d v="2023-05-26T00:00:00"/>
        <d v="2022-08-26T00:00:00"/>
        <d v="2022-05-25T00:00:00"/>
        <d v="2023-08-20T00:00:00"/>
        <d v="2023-08-22T00:00:00"/>
        <d v="2023-05-20T00:00:00"/>
        <d v="2022-09-24T00:00:00"/>
        <d v="2023-02-24T00:00:00"/>
        <d v="2022-07-29T00:00:00"/>
        <d v="2023-11-08T00:00:00"/>
        <d v="2023-01-14T00:00:00"/>
        <d v="2023-03-18T00:00:00"/>
        <d v="2023-03-02T00:00:00"/>
        <d v="2023-05-06T00:00:00"/>
        <d v="2023-11-05T00:00:00"/>
        <d v="2023-11-13T00:00:00"/>
        <d v="2022-04-20T00:00:00"/>
        <d v="2022-03-16T00:00:00"/>
        <d v="2022-04-26T00:00:00"/>
        <d v="2022-07-23T00:00:00"/>
        <d v="2023-07-08T00:00:00"/>
        <d v="2023-03-29T00:00:00"/>
        <d v="2022-10-24T00:00:00"/>
        <d v="2023-04-24T00:00:00"/>
        <d v="2023-04-06T00:00:00"/>
        <d v="2023-07-26T00:00:00"/>
        <d v="2022-04-16T00:00:00"/>
        <d v="2022-03-13T00:00:00"/>
        <d v="2023-11-04T00:00:00"/>
        <d v="2022-01-22T00:00:00"/>
        <d v="2022-04-07T00:00:00"/>
        <d v="2022-09-12T00:00:00"/>
        <d v="2023-02-22T00:00:00"/>
        <d v="2023-05-15T00:00:00"/>
        <d v="2023-05-22T00:00:00"/>
        <d v="2022-08-10T00:00:00"/>
        <d v="2023-02-27T00:00:00"/>
        <d v="2022-03-06T00:00:00"/>
        <d v="2022-01-20T00:00:00"/>
        <d v="2023-02-05T00:00:00"/>
        <d v="2023-04-25T00:00:00"/>
        <d v="2022-11-05T00:00:00"/>
        <d v="2023-03-25T00:00:00"/>
        <d v="2023-12-18T00:00:00"/>
        <d v="2023-07-29T00:00:00"/>
        <d v="2023-11-18T00:00:00"/>
        <d v="2023-06-02T00:00:00"/>
        <d v="2022-06-19T00:00:00"/>
        <d v="2022-08-03T00:00:00"/>
        <d v="2022-11-15T00:00:00"/>
        <d v="2023-09-04T00:00:00"/>
        <d v="2023-07-17T00:00:00"/>
        <d v="2022-12-03T00:00:00"/>
        <d v="2023-06-15T00:00:00"/>
        <d v="2023-07-01T00:00:00"/>
        <d v="2022-06-15T00:00:00"/>
        <d v="2023-06-23T00:00:00"/>
        <d v="2022-07-14T00:00:00"/>
        <d v="2023-12-05T00:00:00"/>
        <d v="2022-09-15T00:00:00"/>
        <d v="2023-03-06T00:00:00"/>
        <d v="2022-05-07T00:00:00"/>
        <d v="2023-08-30T00:00:00"/>
        <d v="2023-09-21T00:00:00"/>
        <d v="2023-10-06T00:00:00"/>
        <d v="2023-03-16T00:00:00"/>
        <d v="2023-08-27T00:00:00"/>
        <d v="2023-08-21T00:00:00"/>
        <d v="2022-10-12T00:00:00"/>
        <d v="2022-08-12T00:00:00"/>
        <d v="2023-11-23T00:00:00"/>
        <d v="2022-11-29T00:00:00"/>
        <d v="2022-10-01T00:00:00"/>
        <d v="2022-05-18T00:00:00"/>
        <d v="2023-12-03T00:00:00"/>
        <d v="2022-11-11T00:00:00"/>
        <d v="2023-04-18T00:00:00"/>
        <d v="2022-11-24T00:00:00"/>
        <d v="2022-04-04T00:00:00"/>
        <d v="2023-04-28T00:00:00"/>
        <d v="2022-08-21T00:00:00"/>
        <d v="2022-10-07T00:00:00"/>
        <d v="2022-05-28T00:00:00"/>
        <d v="2022-12-26T00:00:00"/>
        <d v="2022-03-27T00:00:00"/>
        <d v="2022-06-25T00:00:00"/>
        <d v="2023-04-07T00:00:00"/>
        <d v="2023-07-22T00:00:00"/>
        <d v="2024-01-11T00:00:00"/>
        <d v="2022-11-18T00:00:00"/>
        <d v="2023-09-23T00:00:00"/>
        <d v="2023-11-20T00:00:00"/>
        <d v="2023-06-29T00:00:00"/>
        <d v="2022-01-19T00:00:00"/>
        <d v="2023-07-28T00:00:00"/>
        <d v="2022-11-07T00:00:00"/>
        <d v="2022-05-23T00:00:00"/>
        <d v="2022-10-03T00:00:00"/>
        <d v="2022-04-23T00:00:00"/>
        <d v="2022-10-21T00:00:00"/>
        <d v="2022-11-04T00:00:00"/>
        <d v="2023-10-02T00:00:00"/>
        <d v="2022-12-21T00:00:00"/>
        <d v="2022-08-07T00:00:00"/>
        <d v="2023-12-24T00:00:00"/>
        <d v="2023-10-29T00:00:00"/>
        <d v="2023-06-04T00:00:00"/>
        <d v="2022-09-18T00:00:00"/>
        <d v="2023-10-14T00:00:00"/>
        <d v="2022-01-06T00:00:00"/>
        <d v="2022-12-19T00:00:00"/>
        <d v="2023-07-31T00:00:00"/>
        <d v="2022-01-21T00:00:00"/>
        <d v="2022-04-01T00:00:00"/>
        <d v="2023-12-29T00:00:00"/>
        <d v="2022-06-13T00:00:00"/>
        <d v="2023-08-23T00:00:00"/>
        <d v="2023-08-02T00:00:00"/>
        <d v="2022-06-12T00:00:00"/>
        <d v="2023-04-03T00:00:00"/>
        <d v="2022-02-26T00:00:00"/>
        <d v="2023-01-07T00:00:00"/>
        <d v="2022-08-14T00:00:00"/>
        <d v="2023-12-04T00:00:00"/>
        <d v="2023-01-18T00:00:00"/>
        <d v="2023-08-10T00:00:00"/>
        <d v="2022-09-02T00:00:00"/>
        <d v="2023-03-14T00:00:00"/>
        <d v="2022-02-03T00:00:00"/>
        <d v="2022-07-19T00:00:00"/>
        <d v="2022-10-18T00:00:00"/>
        <d v="2024-01-09T00:00:00"/>
        <d v="2023-02-12T00:00:00"/>
        <d v="2022-02-27T00:00:00"/>
        <d v="2023-04-23T00:00:00"/>
        <d v="2023-01-11T00:00:00"/>
        <d v="2022-11-23T00:00:00"/>
        <d v="2022-08-30T00:00:00"/>
        <d v="2022-07-25T00:00:00"/>
        <d v="2023-02-16T00:00:00"/>
        <d v="2022-12-04T00:00:00"/>
        <d v="2022-10-17T00:00:00"/>
        <d v="2022-03-24T00:00:00"/>
        <d v="2023-10-24T00:00:00"/>
        <d v="2023-02-15T00:00:00"/>
        <d v="2023-07-11T00:00:00"/>
        <d v="2022-12-24T00:00:00"/>
        <d v="2022-05-13T00:00:00"/>
        <d v="2023-09-01T00:00:00"/>
        <d v="2022-10-19T00:00:00"/>
        <d v="2022-05-08T00:00:00"/>
        <d v="2022-12-25T00:00:00"/>
        <d v="2022-11-19T00:00:00"/>
        <d v="2023-03-31T00:00:00"/>
        <d v="2022-05-11T00:00:00"/>
        <d v="2023-08-31T00:00:00"/>
        <d v="2022-07-27T00:00:00"/>
        <d v="2023-12-28T00:00:00"/>
        <d v="2023-06-28T00:00:00"/>
        <d v="2023-12-11T00:00:00"/>
        <d v="2023-03-21T00:00:00"/>
        <d v="2023-11-19T00:00:00"/>
        <d v="2022-12-12T00:00:00"/>
        <d v="2023-10-12T00:00:00"/>
        <d v="2022-05-10T00:00:00"/>
        <d v="2023-06-06T00:00:00"/>
        <d v="2023-03-08T00:00:00"/>
        <d v="2023-02-23T00:00:00"/>
        <d v="2023-12-31T00:00:00"/>
        <d v="2022-11-16T00:00:00"/>
        <d v="2022-07-22T00:00:00"/>
        <d v="2023-02-03T00:00:00"/>
        <d v="2022-07-13T00:00:00"/>
        <d v="2023-09-25T00:00:00"/>
        <d v="2023-08-18T00:00:00"/>
        <d v="2022-01-07T00:00:00"/>
        <d v="2022-11-10T00:00:00"/>
        <d v="2022-08-19T00:00:00"/>
        <d v="2023-03-20T00:00:00"/>
        <d v="2023-08-29T00:00:00"/>
        <d v="2023-10-03T00:00:00"/>
        <d v="2022-12-08T00:00:00"/>
        <d v="2023-04-15T00:00:00"/>
        <d v="2023-06-14T00:00:00"/>
        <d v="2023-05-13T00:00:00"/>
        <d v="2023-11-15T00:00:00"/>
        <d v="2023-11-16T00:00:00"/>
        <d v="2023-10-26T00:00:00"/>
        <d v="2023-11-30T00:00:00"/>
        <d v="2022-08-09T00:00:00"/>
        <d v="2022-06-07T00:00:00"/>
        <d v="2022-09-27T00:00:00"/>
        <d v="2022-03-29T00:00:00"/>
        <d v="2022-07-30T00:00:00"/>
        <d v="2023-12-30T00:00:00"/>
        <d v="2023-06-09T00:00:00"/>
        <d v="2023-02-20T00:00:00"/>
        <d v="2023-12-12T00:00:00"/>
        <d v="2022-01-14T00:00:00"/>
        <d v="2023-03-15T00:00:00"/>
        <d v="2023-06-21T00:00:00"/>
        <d v="2023-05-10T00:00:00"/>
        <d v="2022-10-02T00:00:00"/>
        <d v="2022-05-06T00:00:00"/>
        <d v="2023-05-02T00:00:00"/>
        <d v="2022-05-24T00:00:00"/>
        <d v="2023-05-05T00:00:00"/>
        <d v="2023-09-15T00:00:00"/>
        <d v="2023-04-05T00:00:00"/>
        <d v="2023-06-12T00:00:00"/>
        <d v="2023-03-24T00:00:00"/>
        <d v="2023-07-27T00:00:00"/>
        <d v="2023-04-14T00:00:00"/>
        <d v="2023-05-14T00:00:00"/>
        <d v="2023-04-10T00:00:00"/>
        <d v="2022-10-08T00:00:00"/>
        <d v="2022-09-26T00:00:00"/>
        <d v="2023-10-19T00:00:00"/>
        <d v="2023-07-02T00:00:00"/>
        <d v="2023-05-18T00:00:00"/>
        <d v="2022-09-09T00:00:00"/>
        <d v="2022-10-25T00:00:00"/>
        <d v="2022-09-06T00:00:00"/>
        <d v="2022-05-31T00:00:00"/>
        <d v="2022-06-17T00:00:00"/>
        <d v="2024-01-12T00:00:00"/>
        <d v="2023-03-05T00:00:00"/>
        <d v="2022-12-17T00:00:00"/>
        <d v="2022-08-17T00:00:00"/>
        <d v="2023-03-27T00:00:00"/>
        <d v="2023-12-27T00:00:00"/>
        <d v="2022-01-26T00:00:00"/>
        <d v="2022-12-28T00:00:00"/>
        <d v="2022-11-06T00:00:00"/>
        <d v="2023-03-07T00:00:00"/>
        <d v="2023-07-15T00:00:00"/>
        <d v="2023-09-29T00:00:00"/>
        <d v="2022-08-16T00:00:00"/>
        <d v="2023-05-21T00:00:00"/>
        <d v="2022-10-20T00:00:00"/>
        <d v="2022-02-14T00:00:00"/>
        <d v="2023-12-06T00:00:00"/>
        <d v="2023-02-21T00:00:00"/>
        <d v="2023-10-13T00:00:00"/>
        <d v="2023-07-07T00:00:00"/>
        <d v="2023-09-08T00:00:00"/>
        <d v="2023-08-08T00:00:00"/>
        <d v="2022-02-07T00:00:00"/>
        <d v="2023-01-29T00:00:00"/>
        <d v="2022-12-30T00:00:00"/>
        <d v="2023-07-23T00:00:00"/>
        <d v="2023-01-12T00:00:00"/>
        <d v="2022-03-19T00:00:00"/>
        <d v="2022-09-30T00:00:00"/>
        <d v="2022-07-26T00:00:00"/>
        <d v="2022-05-16T00:00:00"/>
        <d v="2023-05-03T00:00:00"/>
        <d v="2024-01-05T00:00:00"/>
        <d v="2022-09-25T00:00:00"/>
        <d v="2023-09-28T00:00:00"/>
        <d v="2022-11-22T00:00:00"/>
        <d v="2022-05-04T00:00:00"/>
        <d v="2023-09-02T00:00:00"/>
        <d v="2022-02-09T00:00:00"/>
      </sharedItems>
      <fieldGroup par="13"/>
    </cacheField>
    <cacheField name="Item_Category" numFmtId="0">
      <sharedItems containsBlank="1"/>
    </cacheField>
    <cacheField name="Order_Status" numFmtId="0">
      <sharedItems containsBlank="1"/>
    </cacheField>
    <cacheField name="Quantity" numFmtId="0">
      <sharedItems containsString="0" containsBlank="1" containsNumber="1" containsInteger="1" minValue="51" maxValue="5000"/>
    </cacheField>
    <cacheField name="Unit_Price" numFmtId="0">
      <sharedItems containsString="0" containsBlank="1" containsNumber="1" minValue="10.84" maxValue="109.17"/>
    </cacheField>
    <cacheField name="Negotiated_Price" numFmtId="0">
      <sharedItems containsString="0" containsBlank="1" containsNumber="1" minValue="9.27" maxValue="107.39"/>
    </cacheField>
    <cacheField name="Defective_Units" numFmtId="0">
      <sharedItems containsString="0" containsBlank="1" containsNumber="1" containsInteger="1" minValue="0" maxValue="321"/>
    </cacheField>
    <cacheField name="Compliance" numFmtId="0">
      <sharedItems containsBlank="1" count="3">
        <s v="Yes"/>
        <s v="No"/>
        <m/>
      </sharedItems>
    </cacheField>
    <cacheField name="Months (Delivery_Date)" numFmtId="0" databaseField="0">
      <fieldGroup base="3">
        <rangePr groupBy="months" startDate="2022-01-06T00:00:00" endDate="2024-01-13T00:00:00"/>
        <groupItems count="14">
          <s v="&lt;1/6/2022"/>
          <s v="Jan"/>
          <s v="Feb"/>
          <s v="Mar"/>
          <s v="Apr"/>
          <s v="May"/>
          <s v="Jun"/>
          <s v="Jul"/>
          <s v="Aug"/>
          <s v="Sep"/>
          <s v="Oct"/>
          <s v="Nov"/>
          <s v="Dec"/>
          <s v="&gt;1/13/2024"/>
        </groupItems>
      </fieldGroup>
    </cacheField>
    <cacheField name="Quarters (Delivery_Date)" numFmtId="0" databaseField="0">
      <fieldGroup base="3">
        <rangePr groupBy="quarters" startDate="2022-01-06T00:00:00" endDate="2024-01-13T00:00:00"/>
        <groupItems count="6">
          <s v="&lt;1/6/2022"/>
          <s v="Qtr1"/>
          <s v="Qtr2"/>
          <s v="Qtr3"/>
          <s v="Qtr4"/>
          <s v="&gt;1/13/2024"/>
        </groupItems>
      </fieldGroup>
    </cacheField>
    <cacheField name="Years (Delivery_Date)" numFmtId="0" databaseField="0">
      <fieldGroup base="3">
        <rangePr groupBy="years" startDate="2022-01-06T00:00:00" endDate="2024-01-13T00:00:00"/>
        <groupItems count="5">
          <s v="&lt;1/6/2022"/>
          <s v="2022"/>
          <s v="2023"/>
          <s v="2024"/>
          <s v="&gt;1/13/2024"/>
        </groupItems>
      </fieldGroup>
    </cacheField>
    <cacheField name="Months (Order_Date)" numFmtId="0" databaseField="0">
      <fieldGroup base="2">
        <rangePr groupBy="months" startDate="2022-01-01T00:00:00" endDate="2024-01-02T00:00:00"/>
        <groupItems count="14">
          <s v="&lt;1/1/2022"/>
          <s v="Jan"/>
          <s v="Feb"/>
          <s v="Mar"/>
          <s v="Apr"/>
          <s v="May"/>
          <s v="Jun"/>
          <s v="Jul"/>
          <s v="Aug"/>
          <s v="Sep"/>
          <s v="Oct"/>
          <s v="Nov"/>
          <s v="Dec"/>
          <s v="&gt;1/2/2024"/>
        </groupItems>
      </fieldGroup>
    </cacheField>
    <cacheField name="Quarters (Order_Date)" numFmtId="0" databaseField="0">
      <fieldGroup base="2">
        <rangePr groupBy="quarters" startDate="2022-01-01T00:00:00" endDate="2024-01-02T00:00:00"/>
        <groupItems count="6">
          <s v="&lt;1/1/2022"/>
          <s v="Qtr1"/>
          <s v="Qtr2"/>
          <s v="Qtr3"/>
          <s v="Qtr4"/>
          <s v="&gt;1/2/2024"/>
        </groupItems>
      </fieldGroup>
    </cacheField>
    <cacheField name="Years (Order_Date)" numFmtId="0" databaseField="0">
      <fieldGroup base="2">
        <rangePr groupBy="years" startDate="2022-01-01T00:00:00" endDate="2024-01-02T00:00:00"/>
        <groupItems count="5">
          <s v="&lt;1/1/2022"/>
          <s v="2022"/>
          <s v="2023"/>
          <s v="2024"/>
          <s v="&gt;1/2/2024"/>
        </groupItems>
      </fieldGroup>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7">
  <r>
    <s v="PO-00001"/>
    <x v="0"/>
    <x v="0"/>
    <x v="0"/>
    <x v="0"/>
    <x v="0"/>
    <n v="1176"/>
    <n v="20.13"/>
    <n v="17.809999999999999"/>
    <m/>
    <x v="0"/>
    <n v="8"/>
    <n v="2.3200000000000003"/>
    <x v="0"/>
    <n v="2728.32"/>
  </r>
  <r>
    <s v="PO-00002"/>
    <x v="1"/>
    <x v="1"/>
    <x v="1"/>
    <x v="0"/>
    <x v="1"/>
    <n v="1509"/>
    <n v="39.32"/>
    <n v="37.340000000000003"/>
    <n v="235"/>
    <x v="0"/>
    <n v="10"/>
    <n v="1.9799999999999969"/>
    <x v="1"/>
    <n v="2987.8199999999952"/>
  </r>
  <r>
    <s v="PO-00003"/>
    <x v="2"/>
    <x v="2"/>
    <x v="2"/>
    <x v="1"/>
    <x v="1"/>
    <n v="910"/>
    <n v="95.51"/>
    <n v="92.26"/>
    <n v="41"/>
    <x v="0"/>
    <n v="20"/>
    <n v="3.25"/>
    <x v="2"/>
    <n v="2957.5"/>
  </r>
  <r>
    <s v="PO-00004"/>
    <x v="3"/>
    <x v="3"/>
    <x v="3"/>
    <x v="2"/>
    <x v="1"/>
    <n v="1344"/>
    <n v="99.85"/>
    <n v="95.52"/>
    <n v="112"/>
    <x v="0"/>
    <n v="19"/>
    <n v="4.3299999999999983"/>
    <x v="3"/>
    <n v="5819.5199999999977"/>
  </r>
  <r>
    <s v="PO-00005"/>
    <x v="1"/>
    <x v="4"/>
    <x v="4"/>
    <x v="3"/>
    <x v="1"/>
    <n v="1180"/>
    <n v="64.069999999999993"/>
    <n v="60.53"/>
    <n v="171"/>
    <x v="1"/>
    <n v="12"/>
    <n v="3.539999999999992"/>
    <x v="4"/>
    <n v="4177.1999999999907"/>
  </r>
  <r>
    <s v="PO-00006"/>
    <x v="4"/>
    <x v="5"/>
    <x v="5"/>
    <x v="1"/>
    <x v="1"/>
    <n v="1145"/>
    <n v="69.209999999999994"/>
    <n v="63.57"/>
    <n v="39"/>
    <x v="0"/>
    <n v="12"/>
    <n v="5.6399999999999935"/>
    <x v="5"/>
    <n v="6457.7999999999929"/>
  </r>
  <r>
    <s v="PO-00007"/>
    <x v="2"/>
    <x v="6"/>
    <x v="6"/>
    <x v="1"/>
    <x v="1"/>
    <n v="1774"/>
    <n v="51.37"/>
    <n v="47.82"/>
    <n v="96"/>
    <x v="1"/>
    <n v="11"/>
    <n v="3.5499999999999972"/>
    <x v="6"/>
    <n v="6297.6999999999953"/>
  </r>
  <r>
    <s v="PO-00008"/>
    <x v="0"/>
    <x v="7"/>
    <x v="7"/>
    <x v="1"/>
    <x v="1"/>
    <n v="1094"/>
    <n v="36.93"/>
    <n v="32.78"/>
    <n v="22"/>
    <x v="0"/>
    <n v="14"/>
    <n v="4.1499999999999986"/>
    <x v="7"/>
    <n v="4540.0999999999985"/>
  </r>
  <r>
    <s v="PO-00009"/>
    <x v="2"/>
    <x v="8"/>
    <x v="8"/>
    <x v="3"/>
    <x v="2"/>
    <n v="1688"/>
    <n v="43.93"/>
    <n v="39.89"/>
    <n v="89"/>
    <x v="0"/>
    <n v="4"/>
    <n v="4.0399999999999991"/>
    <x v="8"/>
    <n v="6819.5199999999986"/>
  </r>
  <r>
    <s v="PO-00010"/>
    <x v="2"/>
    <x v="9"/>
    <x v="9"/>
    <x v="3"/>
    <x v="3"/>
    <n v="171"/>
    <n v="76.87"/>
    <n v="70.2"/>
    <n v="8"/>
    <x v="0"/>
    <n v="12"/>
    <n v="6.6700000000000017"/>
    <x v="9"/>
    <n v="1140.5700000000004"/>
  </r>
  <r>
    <s v="PO-00011"/>
    <x v="4"/>
    <x v="10"/>
    <x v="10"/>
    <x v="3"/>
    <x v="1"/>
    <n v="5000"/>
    <n v="78.489999999999995"/>
    <n v="73.680000000000007"/>
    <n v="18"/>
    <x v="0"/>
    <n v="15"/>
    <n v="4.8099999999999881"/>
    <x v="10"/>
    <n v="24049.999999999942"/>
  </r>
  <r>
    <s v="PO-00012"/>
    <x v="3"/>
    <x v="11"/>
    <x v="11"/>
    <x v="3"/>
    <x v="1"/>
    <n v="5000"/>
    <n v="88.96"/>
    <n v="86.58"/>
    <n v="115"/>
    <x v="0"/>
    <n v="14"/>
    <n v="2.3799999999999955"/>
    <x v="11"/>
    <n v="11899.999999999978"/>
  </r>
  <r>
    <s v="PO-00013"/>
    <x v="3"/>
    <x v="12"/>
    <x v="12"/>
    <x v="4"/>
    <x v="3"/>
    <n v="5000"/>
    <n v="86.74"/>
    <n v="74.86"/>
    <n v="51"/>
    <x v="0"/>
    <n v="17"/>
    <n v="11.879999999999995"/>
    <x v="12"/>
    <n v="59399.999999999978"/>
  </r>
  <r>
    <s v="PO-00014"/>
    <x v="3"/>
    <x v="13"/>
    <x v="13"/>
    <x v="1"/>
    <x v="1"/>
    <n v="5000"/>
    <n v="18.3"/>
    <n v="16.88"/>
    <m/>
    <x v="0"/>
    <s v=""/>
    <n v="1.4200000000000017"/>
    <x v="13"/>
    <n v="7100.0000000000082"/>
  </r>
  <r>
    <s v="PO-00015"/>
    <x v="1"/>
    <x v="14"/>
    <x v="14"/>
    <x v="4"/>
    <x v="3"/>
    <n v="5000"/>
    <n v="54.5"/>
    <n v="48.45"/>
    <n v="22"/>
    <x v="0"/>
    <n v="18"/>
    <n v="6.0499999999999972"/>
    <x v="14"/>
    <n v="30249.999999999985"/>
  </r>
  <r>
    <s v="PO-00016"/>
    <x v="3"/>
    <x v="15"/>
    <x v="15"/>
    <x v="2"/>
    <x v="1"/>
    <n v="5000"/>
    <n v="15.41"/>
    <n v="15.12"/>
    <m/>
    <x v="0"/>
    <n v="15"/>
    <n v="0.29000000000000092"/>
    <x v="15"/>
    <n v="1450.0000000000045"/>
  </r>
  <r>
    <s v="PO-00017"/>
    <x v="1"/>
    <x v="16"/>
    <x v="16"/>
    <x v="1"/>
    <x v="1"/>
    <n v="1173"/>
    <n v="61.54"/>
    <n v="55.49"/>
    <n v="172"/>
    <x v="1"/>
    <n v="19"/>
    <n v="6.0499999999999972"/>
    <x v="16"/>
    <n v="7096.6499999999969"/>
  </r>
  <r>
    <s v="PO-00018"/>
    <x v="4"/>
    <x v="17"/>
    <x v="17"/>
    <x v="3"/>
    <x v="1"/>
    <n v="921"/>
    <n v="51.48"/>
    <n v="50.61"/>
    <m/>
    <x v="0"/>
    <n v="8"/>
    <n v="0.86999999999999744"/>
    <x v="17"/>
    <n v="801.26999999999759"/>
  </r>
  <r>
    <s v="PO-00019"/>
    <x v="2"/>
    <x v="18"/>
    <x v="18"/>
    <x v="3"/>
    <x v="2"/>
    <n v="1737"/>
    <n v="97.53"/>
    <n v="87.37"/>
    <n v="79"/>
    <x v="0"/>
    <n v="3"/>
    <n v="10.159999999999997"/>
    <x v="18"/>
    <n v="17647.919999999995"/>
  </r>
  <r>
    <s v="PO-00020"/>
    <x v="1"/>
    <x v="19"/>
    <x v="19"/>
    <x v="3"/>
    <x v="1"/>
    <n v="180"/>
    <n v="45.74"/>
    <n v="38.89"/>
    <m/>
    <x v="1"/>
    <n v="15"/>
    <n v="6.8500000000000014"/>
    <x v="19"/>
    <n v="1233.0000000000002"/>
  </r>
  <r>
    <s v="PO-00021"/>
    <x v="4"/>
    <x v="20"/>
    <x v="20"/>
    <x v="4"/>
    <x v="0"/>
    <n v="1735"/>
    <n v="20.54"/>
    <n v="19.690000000000001"/>
    <n v="49"/>
    <x v="0"/>
    <n v="15"/>
    <n v="0.84999999999999787"/>
    <x v="20"/>
    <n v="1474.7499999999964"/>
  </r>
  <r>
    <s v="PO-00022"/>
    <x v="1"/>
    <x v="21"/>
    <x v="21"/>
    <x v="3"/>
    <x v="1"/>
    <n v="1382"/>
    <n v="24.93"/>
    <n v="23.75"/>
    <m/>
    <x v="0"/>
    <n v="13"/>
    <n v="1.1799999999999997"/>
    <x v="21"/>
    <n v="1630.7599999999995"/>
  </r>
  <r>
    <s v="PO-00023"/>
    <x v="4"/>
    <x v="22"/>
    <x v="22"/>
    <x v="1"/>
    <x v="1"/>
    <n v="819"/>
    <n v="80.89"/>
    <n v="77.03"/>
    <n v="29"/>
    <x v="0"/>
    <n v="16"/>
    <n v="3.8599999999999994"/>
    <x v="22"/>
    <n v="3161.3399999999997"/>
  </r>
  <r>
    <s v="PO-00024"/>
    <x v="3"/>
    <x v="23"/>
    <x v="23"/>
    <x v="0"/>
    <x v="2"/>
    <n v="393"/>
    <n v="72.53"/>
    <n v="66.31"/>
    <n v="42"/>
    <x v="1"/>
    <n v="6"/>
    <n v="6.2199999999999989"/>
    <x v="23"/>
    <n v="2444.4599999999996"/>
  </r>
  <r>
    <s v="PO-00025"/>
    <x v="3"/>
    <x v="24"/>
    <x v="24"/>
    <x v="1"/>
    <x v="1"/>
    <n v="1565"/>
    <n v="21.3"/>
    <n v="20.09"/>
    <n v="161"/>
    <x v="0"/>
    <n v="12"/>
    <n v="1.2100000000000009"/>
    <x v="24"/>
    <n v="1893.6500000000012"/>
  </r>
  <r>
    <s v="PO-00026"/>
    <x v="4"/>
    <x v="9"/>
    <x v="25"/>
    <x v="2"/>
    <x v="1"/>
    <n v="1487"/>
    <n v="19.149999999999999"/>
    <n v="17.239999999999998"/>
    <m/>
    <x v="0"/>
    <n v="11"/>
    <n v="1.9100000000000001"/>
    <x v="25"/>
    <n v="2840.17"/>
  </r>
  <r>
    <s v="PO-00027"/>
    <x v="0"/>
    <x v="25"/>
    <x v="12"/>
    <x v="1"/>
    <x v="1"/>
    <n v="855"/>
    <n v="78.2"/>
    <n v="67.16"/>
    <n v="17"/>
    <x v="0"/>
    <n v="20"/>
    <n v="11.040000000000006"/>
    <x v="26"/>
    <n v="9439.2000000000062"/>
  </r>
  <r>
    <s v="PO-00028"/>
    <x v="4"/>
    <x v="26"/>
    <x v="26"/>
    <x v="3"/>
    <x v="1"/>
    <n v="435"/>
    <n v="17.13"/>
    <n v="15.84"/>
    <n v="8"/>
    <x v="0"/>
    <n v="9"/>
    <n v="1.2899999999999991"/>
    <x v="27"/>
    <n v="561.14999999999964"/>
  </r>
  <r>
    <s v="PO-00029"/>
    <x v="1"/>
    <x v="27"/>
    <x v="27"/>
    <x v="1"/>
    <x v="1"/>
    <n v="1265"/>
    <n v="90.26"/>
    <n v="79.47"/>
    <n v="187"/>
    <x v="0"/>
    <n v="17"/>
    <n v="10.790000000000006"/>
    <x v="28"/>
    <n v="13649.350000000008"/>
  </r>
  <r>
    <s v="PO-00030"/>
    <x v="4"/>
    <x v="28"/>
    <x v="13"/>
    <x v="1"/>
    <x v="1"/>
    <n v="1005"/>
    <n v="80.55"/>
    <n v="73.31"/>
    <n v="30"/>
    <x v="0"/>
    <s v=""/>
    <n v="7.2399999999999949"/>
    <x v="29"/>
    <n v="7276.1999999999953"/>
  </r>
  <r>
    <s v="PO-00031"/>
    <x v="2"/>
    <x v="29"/>
    <x v="28"/>
    <x v="4"/>
    <x v="1"/>
    <n v="326"/>
    <n v="18.100000000000001"/>
    <n v="15.92"/>
    <m/>
    <x v="1"/>
    <n v="14"/>
    <n v="2.1800000000000015"/>
    <x v="30"/>
    <n v="710.68000000000052"/>
  </r>
  <r>
    <s v="PO-00032"/>
    <x v="0"/>
    <x v="30"/>
    <x v="29"/>
    <x v="0"/>
    <x v="1"/>
    <n v="1234"/>
    <n v="17.64"/>
    <n v="15.66"/>
    <n v="26"/>
    <x v="0"/>
    <n v="8"/>
    <n v="1.9800000000000004"/>
    <x v="31"/>
    <n v="2443.3200000000006"/>
  </r>
  <r>
    <s v="PO-00033"/>
    <x v="4"/>
    <x v="31"/>
    <x v="30"/>
    <x v="1"/>
    <x v="1"/>
    <n v="509"/>
    <n v="101.27"/>
    <n v="97.82"/>
    <n v="19"/>
    <x v="0"/>
    <n v="16"/>
    <n v="3.4500000000000028"/>
    <x v="32"/>
    <n v="1756.0500000000015"/>
  </r>
  <r>
    <s v="PO-00034"/>
    <x v="0"/>
    <x v="32"/>
    <x v="31"/>
    <x v="2"/>
    <x v="1"/>
    <n v="1387"/>
    <n v="48.71"/>
    <n v="43.71"/>
    <n v="27"/>
    <x v="0"/>
    <n v="1"/>
    <n v="5"/>
    <x v="33"/>
    <n v="6935"/>
  </r>
  <r>
    <s v="PO-00035"/>
    <x v="0"/>
    <x v="12"/>
    <x v="32"/>
    <x v="1"/>
    <x v="1"/>
    <n v="71"/>
    <n v="46.39"/>
    <n v="43.18"/>
    <n v="0"/>
    <x v="0"/>
    <n v="8"/>
    <n v="3.2100000000000009"/>
    <x v="34"/>
    <n v="227.91000000000005"/>
  </r>
  <r>
    <s v="PO-00036"/>
    <x v="4"/>
    <x v="33"/>
    <x v="33"/>
    <x v="0"/>
    <x v="1"/>
    <n v="302"/>
    <n v="87.73"/>
    <n v="81.52"/>
    <n v="9"/>
    <x v="0"/>
    <n v="8"/>
    <n v="6.210000000000008"/>
    <x v="35"/>
    <n v="1875.4200000000023"/>
  </r>
  <r>
    <s v="PO-00037"/>
    <x v="4"/>
    <x v="29"/>
    <x v="34"/>
    <x v="0"/>
    <x v="3"/>
    <n v="797"/>
    <n v="99.54"/>
    <n v="91.37"/>
    <n v="18"/>
    <x v="0"/>
    <n v="19"/>
    <n v="8.1700000000000017"/>
    <x v="36"/>
    <n v="6511.4900000000016"/>
  </r>
  <r>
    <s v="PO-00038"/>
    <x v="3"/>
    <x v="34"/>
    <x v="35"/>
    <x v="0"/>
    <x v="3"/>
    <n v="906"/>
    <n v="101.21"/>
    <n v="90.9"/>
    <n v="94"/>
    <x v="0"/>
    <n v="18"/>
    <n v="10.309999999999988"/>
    <x v="37"/>
    <n v="9340.8599999999897"/>
  </r>
  <r>
    <s v="PO-00039"/>
    <x v="4"/>
    <x v="35"/>
    <x v="26"/>
    <x v="0"/>
    <x v="1"/>
    <n v="1634"/>
    <n v="80.53"/>
    <n v="76.150000000000006"/>
    <n v="50"/>
    <x v="0"/>
    <n v="14"/>
    <n v="4.3799999999999955"/>
    <x v="38"/>
    <n v="7156.9199999999928"/>
  </r>
  <r>
    <s v="PO-00040"/>
    <x v="4"/>
    <x v="36"/>
    <x v="13"/>
    <x v="0"/>
    <x v="1"/>
    <n v="524"/>
    <n v="46.28"/>
    <n v="39.65"/>
    <n v="14"/>
    <x v="0"/>
    <s v=""/>
    <n v="6.6300000000000026"/>
    <x v="39"/>
    <n v="3474.1200000000013"/>
  </r>
  <r>
    <s v="PO-00041"/>
    <x v="3"/>
    <x v="7"/>
    <x v="36"/>
    <x v="4"/>
    <x v="1"/>
    <n v="1132"/>
    <n v="17.78"/>
    <n v="15.36"/>
    <n v="96"/>
    <x v="0"/>
    <n v="12"/>
    <n v="2.4200000000000017"/>
    <x v="40"/>
    <n v="2739.4400000000019"/>
  </r>
  <r>
    <s v="PO-00042"/>
    <x v="3"/>
    <x v="37"/>
    <x v="37"/>
    <x v="0"/>
    <x v="1"/>
    <n v="560"/>
    <n v="81.14"/>
    <n v="77.87"/>
    <n v="34"/>
    <x v="1"/>
    <n v="9"/>
    <n v="3.269999999999996"/>
    <x v="41"/>
    <n v="1831.1999999999978"/>
  </r>
  <r>
    <s v="PO-00043"/>
    <x v="2"/>
    <x v="38"/>
    <x v="38"/>
    <x v="4"/>
    <x v="1"/>
    <n v="1755"/>
    <n v="63.87"/>
    <n v="58.4"/>
    <n v="85"/>
    <x v="0"/>
    <n v="8"/>
    <n v="5.4699999999999989"/>
    <x v="42"/>
    <n v="9599.8499999999985"/>
  </r>
  <r>
    <s v="PO-00044"/>
    <x v="4"/>
    <x v="39"/>
    <x v="39"/>
    <x v="1"/>
    <x v="1"/>
    <n v="1549"/>
    <n v="48.9"/>
    <n v="42.42"/>
    <n v="48"/>
    <x v="0"/>
    <n v="7"/>
    <n v="6.4799999999999969"/>
    <x v="43"/>
    <n v="10037.519999999995"/>
  </r>
  <r>
    <s v="PO-00045"/>
    <x v="1"/>
    <x v="40"/>
    <x v="40"/>
    <x v="1"/>
    <x v="1"/>
    <n v="749"/>
    <n v="97.07"/>
    <n v="94.16"/>
    <n v="123"/>
    <x v="0"/>
    <n v="18"/>
    <n v="2.9099999999999966"/>
    <x v="44"/>
    <n v="2179.5899999999974"/>
  </r>
  <r>
    <s v="PO-00046"/>
    <x v="0"/>
    <x v="41"/>
    <x v="13"/>
    <x v="4"/>
    <x v="1"/>
    <n v="1025"/>
    <n v="21.11"/>
    <n v="19.25"/>
    <n v="15"/>
    <x v="0"/>
    <s v=""/>
    <n v="1.8599999999999994"/>
    <x v="45"/>
    <n v="1906.4999999999993"/>
  </r>
  <r>
    <s v="PO-00047"/>
    <x v="3"/>
    <x v="42"/>
    <x v="41"/>
    <x v="3"/>
    <x v="1"/>
    <n v="1856"/>
    <n v="59.77"/>
    <n v="50.81"/>
    <n v="191"/>
    <x v="0"/>
    <n v="7"/>
    <n v="8.9600000000000009"/>
    <x v="46"/>
    <n v="16629.760000000002"/>
  </r>
  <r>
    <s v="PO-00048"/>
    <x v="4"/>
    <x v="43"/>
    <x v="42"/>
    <x v="0"/>
    <x v="1"/>
    <n v="239"/>
    <n v="11.46"/>
    <n v="11.28"/>
    <n v="4"/>
    <x v="0"/>
    <n v="16"/>
    <n v="0.18000000000000149"/>
    <x v="47"/>
    <n v="43.020000000000358"/>
  </r>
  <r>
    <s v="PO-00049"/>
    <x v="1"/>
    <x v="44"/>
    <x v="43"/>
    <x v="0"/>
    <x v="3"/>
    <n v="1007"/>
    <n v="52.44"/>
    <n v="46.06"/>
    <n v="167"/>
    <x v="0"/>
    <n v="19"/>
    <n v="6.3799999999999955"/>
    <x v="48"/>
    <n v="6424.6599999999953"/>
  </r>
  <r>
    <s v="PO-00050"/>
    <x v="0"/>
    <x v="45"/>
    <x v="13"/>
    <x v="1"/>
    <x v="3"/>
    <n v="736"/>
    <n v="16.2"/>
    <n v="15.33"/>
    <n v="18"/>
    <x v="0"/>
    <s v=""/>
    <n v="0.86999999999999922"/>
    <x v="49"/>
    <n v="640.31999999999948"/>
  </r>
  <r>
    <s v="PO-00051"/>
    <x v="4"/>
    <x v="46"/>
    <x v="44"/>
    <x v="4"/>
    <x v="1"/>
    <n v="1007"/>
    <n v="22.56"/>
    <n v="19.59"/>
    <m/>
    <x v="0"/>
    <n v="10"/>
    <n v="2.9699999999999989"/>
    <x v="50"/>
    <n v="2990.7899999999991"/>
  </r>
  <r>
    <s v="PO-00052"/>
    <x v="1"/>
    <x v="47"/>
    <x v="13"/>
    <x v="0"/>
    <x v="1"/>
    <n v="612"/>
    <n v="20.99"/>
    <n v="19.75"/>
    <n v="102"/>
    <x v="0"/>
    <s v=""/>
    <n v="1.2399999999999984"/>
    <x v="51"/>
    <n v="758.87999999999909"/>
  </r>
  <r>
    <s v="PO-00053"/>
    <x v="0"/>
    <x v="48"/>
    <x v="38"/>
    <x v="1"/>
    <x v="3"/>
    <n v="1949"/>
    <n v="72.53"/>
    <n v="63.26"/>
    <n v="48"/>
    <x v="1"/>
    <n v="10"/>
    <n v="9.2700000000000031"/>
    <x v="52"/>
    <n v="18067.230000000007"/>
  </r>
  <r>
    <s v="PO-00054"/>
    <x v="1"/>
    <x v="49"/>
    <x v="45"/>
    <x v="0"/>
    <x v="0"/>
    <n v="1640"/>
    <n v="77.92"/>
    <n v="76.41"/>
    <n v="262"/>
    <x v="1"/>
    <n v="6"/>
    <n v="1.5100000000000051"/>
    <x v="53"/>
    <n v="2476.4000000000083"/>
  </r>
  <r>
    <s v="PO-00055"/>
    <x v="3"/>
    <x v="50"/>
    <x v="46"/>
    <x v="4"/>
    <x v="1"/>
    <n v="1317"/>
    <n v="68.13"/>
    <n v="60.52"/>
    <n v="136"/>
    <x v="0"/>
    <n v="18"/>
    <n v="7.6099999999999923"/>
    <x v="54"/>
    <n v="10022.36999999999"/>
  </r>
  <r>
    <s v="PO-00056"/>
    <x v="4"/>
    <x v="51"/>
    <x v="47"/>
    <x v="3"/>
    <x v="1"/>
    <n v="881"/>
    <n v="100.94"/>
    <n v="95.05"/>
    <n v="30"/>
    <x v="0"/>
    <n v="2"/>
    <n v="5.8900000000000006"/>
    <x v="55"/>
    <n v="5189.09"/>
  </r>
  <r>
    <s v="PO-00057"/>
    <x v="1"/>
    <x v="52"/>
    <x v="13"/>
    <x v="2"/>
    <x v="1"/>
    <n v="1578"/>
    <n v="48.33"/>
    <n v="42.77"/>
    <n v="206"/>
    <x v="0"/>
    <s v=""/>
    <n v="5.5599999999999952"/>
    <x v="56"/>
    <n v="8773.679999999993"/>
  </r>
  <r>
    <s v="PO-00058"/>
    <x v="1"/>
    <x v="53"/>
    <x v="48"/>
    <x v="1"/>
    <x v="1"/>
    <n v="1204"/>
    <n v="39.29"/>
    <n v="35.44"/>
    <m/>
    <x v="0"/>
    <n v="5"/>
    <n v="3.8500000000000014"/>
    <x v="57"/>
    <n v="4635.4000000000015"/>
  </r>
  <r>
    <s v="PO-00059"/>
    <x v="4"/>
    <x v="54"/>
    <x v="49"/>
    <x v="1"/>
    <x v="3"/>
    <n v="1558"/>
    <n v="93.46"/>
    <n v="91.27"/>
    <n v="39"/>
    <x v="0"/>
    <n v="16"/>
    <n v="2.1899999999999977"/>
    <x v="58"/>
    <n v="3412.0199999999963"/>
  </r>
  <r>
    <s v="PO-00060"/>
    <x v="0"/>
    <x v="55"/>
    <x v="50"/>
    <x v="2"/>
    <x v="1"/>
    <n v="1892"/>
    <n v="32.99"/>
    <n v="28.81"/>
    <n v="35"/>
    <x v="0"/>
    <n v="1"/>
    <n v="4.1800000000000033"/>
    <x v="59"/>
    <n v="7908.5600000000059"/>
  </r>
  <r>
    <s v="PO-00061"/>
    <x v="4"/>
    <x v="56"/>
    <x v="51"/>
    <x v="2"/>
    <x v="1"/>
    <n v="696"/>
    <n v="99.59"/>
    <n v="90.18"/>
    <n v="25"/>
    <x v="0"/>
    <n v="16"/>
    <n v="9.4099999999999966"/>
    <x v="60"/>
    <n v="6549.3599999999979"/>
  </r>
  <r>
    <s v="PO-00062"/>
    <x v="1"/>
    <x v="57"/>
    <x v="52"/>
    <x v="1"/>
    <x v="2"/>
    <n v="70"/>
    <n v="12.37"/>
    <n v="11.04"/>
    <n v="10"/>
    <x v="0"/>
    <n v="11"/>
    <n v="1.33"/>
    <x v="61"/>
    <n v="93.100000000000009"/>
  </r>
  <r>
    <s v="PO-00063"/>
    <x v="2"/>
    <x v="58"/>
    <x v="53"/>
    <x v="3"/>
    <x v="1"/>
    <n v="890"/>
    <n v="98.26"/>
    <n v="93.14"/>
    <n v="49"/>
    <x v="0"/>
    <n v="2"/>
    <n v="5.1200000000000045"/>
    <x v="62"/>
    <n v="4556.8000000000038"/>
  </r>
  <r>
    <s v="PO-00064"/>
    <x v="0"/>
    <x v="59"/>
    <x v="54"/>
    <x v="1"/>
    <x v="1"/>
    <n v="216"/>
    <n v="13.95"/>
    <n v="12.31"/>
    <n v="5"/>
    <x v="0"/>
    <n v="16"/>
    <n v="1.6399999999999988"/>
    <x v="63"/>
    <n v="354.23999999999972"/>
  </r>
  <r>
    <s v="PO-00065"/>
    <x v="1"/>
    <x v="60"/>
    <x v="55"/>
    <x v="2"/>
    <x v="1"/>
    <n v="1347"/>
    <n v="100.13"/>
    <n v="94.3"/>
    <n v="200"/>
    <x v="0"/>
    <n v="3"/>
    <n v="5.8299999999999983"/>
    <x v="64"/>
    <n v="7853.0099999999975"/>
  </r>
  <r>
    <s v="PO-00066"/>
    <x v="2"/>
    <x v="61"/>
    <x v="56"/>
    <x v="0"/>
    <x v="2"/>
    <n v="437"/>
    <n v="59.51"/>
    <n v="56.45"/>
    <n v="25"/>
    <x v="1"/>
    <n v="3"/>
    <n v="3.0599999999999952"/>
    <x v="65"/>
    <n v="1337.219999999998"/>
  </r>
  <r>
    <s v="PO-00067"/>
    <x v="0"/>
    <x v="62"/>
    <x v="28"/>
    <x v="4"/>
    <x v="1"/>
    <n v="650"/>
    <n v="103.84"/>
    <n v="88.28"/>
    <n v="12"/>
    <x v="0"/>
    <n v="2"/>
    <n v="15.560000000000002"/>
    <x v="66"/>
    <n v="10114.000000000002"/>
  </r>
  <r>
    <s v="PO-00068"/>
    <x v="3"/>
    <x v="63"/>
    <x v="57"/>
    <x v="0"/>
    <x v="1"/>
    <n v="365"/>
    <n v="16.809999999999999"/>
    <n v="15.41"/>
    <n v="38"/>
    <x v="0"/>
    <n v="19"/>
    <n v="1.3999999999999986"/>
    <x v="67"/>
    <n v="510.99999999999949"/>
  </r>
  <r>
    <s v="PO-00069"/>
    <x v="4"/>
    <x v="17"/>
    <x v="13"/>
    <x v="3"/>
    <x v="0"/>
    <n v="63"/>
    <n v="61.94"/>
    <n v="53.8"/>
    <m/>
    <x v="0"/>
    <s v=""/>
    <n v="8.14"/>
    <x v="68"/>
    <n v="512.82000000000005"/>
  </r>
  <r>
    <s v="PO-00070"/>
    <x v="0"/>
    <x v="64"/>
    <x v="58"/>
    <x v="1"/>
    <x v="1"/>
    <n v="291"/>
    <n v="98.7"/>
    <n v="87.02"/>
    <n v="9"/>
    <x v="0"/>
    <n v="8"/>
    <n v="11.680000000000007"/>
    <x v="69"/>
    <n v="3398.8800000000019"/>
  </r>
  <r>
    <s v="PO-00071"/>
    <x v="0"/>
    <x v="38"/>
    <x v="59"/>
    <x v="1"/>
    <x v="0"/>
    <n v="826"/>
    <n v="60.5"/>
    <n v="57.18"/>
    <n v="18"/>
    <x v="0"/>
    <n v="14"/>
    <n v="3.3200000000000003"/>
    <x v="70"/>
    <n v="2742.32"/>
  </r>
  <r>
    <s v="PO-00072"/>
    <x v="1"/>
    <x v="29"/>
    <x v="60"/>
    <x v="4"/>
    <x v="3"/>
    <n v="1419"/>
    <n v="69.64"/>
    <n v="59.28"/>
    <n v="194"/>
    <x v="0"/>
    <n v="20"/>
    <n v="10.36"/>
    <x v="71"/>
    <n v="14700.839999999998"/>
  </r>
  <r>
    <s v="PO-00073"/>
    <x v="2"/>
    <x v="65"/>
    <x v="61"/>
    <x v="0"/>
    <x v="1"/>
    <n v="614"/>
    <n v="78.06"/>
    <n v="73.95"/>
    <n v="40"/>
    <x v="0"/>
    <n v="17"/>
    <n v="4.1099999999999994"/>
    <x v="72"/>
    <n v="2523.5399999999995"/>
  </r>
  <r>
    <s v="PO-00074"/>
    <x v="0"/>
    <x v="66"/>
    <x v="62"/>
    <x v="4"/>
    <x v="1"/>
    <n v="947"/>
    <n v="56.25"/>
    <n v="54.25"/>
    <n v="19"/>
    <x v="0"/>
    <n v="15"/>
    <n v="2"/>
    <x v="73"/>
    <n v="1894"/>
  </r>
  <r>
    <s v="PO-00075"/>
    <x v="4"/>
    <x v="67"/>
    <x v="63"/>
    <x v="3"/>
    <x v="1"/>
    <n v="1413"/>
    <n v="70.47"/>
    <n v="69.650000000000006"/>
    <m/>
    <x v="0"/>
    <n v="19"/>
    <n v="0.81999999999999318"/>
    <x v="74"/>
    <n v="1158.6599999999903"/>
  </r>
  <r>
    <s v="PO-00076"/>
    <x v="0"/>
    <x v="68"/>
    <x v="13"/>
    <x v="0"/>
    <x v="2"/>
    <n v="141"/>
    <n v="64.150000000000006"/>
    <n v="58.32"/>
    <m/>
    <x v="0"/>
    <s v=""/>
    <n v="5.8300000000000054"/>
    <x v="75"/>
    <n v="822.03000000000077"/>
  </r>
  <r>
    <s v="PO-00077"/>
    <x v="0"/>
    <x v="69"/>
    <x v="64"/>
    <x v="0"/>
    <x v="1"/>
    <n v="1440"/>
    <n v="96.57"/>
    <n v="83.87"/>
    <n v="36"/>
    <x v="0"/>
    <n v="20"/>
    <n v="12.699999999999989"/>
    <x v="76"/>
    <n v="18287.999999999985"/>
  </r>
  <r>
    <s v="PO-00078"/>
    <x v="1"/>
    <x v="70"/>
    <x v="65"/>
    <x v="3"/>
    <x v="1"/>
    <n v="1005"/>
    <n v="14.87"/>
    <n v="12.79"/>
    <m/>
    <x v="1"/>
    <n v="4"/>
    <n v="2.08"/>
    <x v="77"/>
    <n v="2090.4"/>
  </r>
  <r>
    <s v="PO-00079"/>
    <x v="0"/>
    <x v="71"/>
    <x v="13"/>
    <x v="1"/>
    <x v="1"/>
    <n v="1528"/>
    <n v="36.520000000000003"/>
    <n v="33"/>
    <n v="31"/>
    <x v="1"/>
    <s v=""/>
    <n v="3.5200000000000031"/>
    <x v="78"/>
    <n v="5378.5600000000049"/>
  </r>
  <r>
    <s v="PO-00080"/>
    <x v="2"/>
    <x v="72"/>
    <x v="66"/>
    <x v="1"/>
    <x v="1"/>
    <n v="1501"/>
    <n v="106.05"/>
    <n v="100.99"/>
    <n v="77"/>
    <x v="1"/>
    <n v="7"/>
    <n v="5.0600000000000023"/>
    <x v="79"/>
    <n v="7595.0600000000031"/>
  </r>
  <r>
    <s v="PO-00081"/>
    <x v="1"/>
    <x v="73"/>
    <x v="67"/>
    <x v="2"/>
    <x v="1"/>
    <n v="558"/>
    <n v="94.18"/>
    <n v="81.400000000000006"/>
    <m/>
    <x v="1"/>
    <n v="3"/>
    <n v="12.780000000000001"/>
    <x v="80"/>
    <n v="7131.2400000000007"/>
  </r>
  <r>
    <s v="PO-00082"/>
    <x v="3"/>
    <x v="24"/>
    <x v="68"/>
    <x v="1"/>
    <x v="1"/>
    <n v="825"/>
    <n v="56.88"/>
    <n v="50.84"/>
    <m/>
    <x v="0"/>
    <n v="6"/>
    <n v="6.0399999999999991"/>
    <x v="81"/>
    <n v="4982.9999999999991"/>
  </r>
  <r>
    <s v="PO-00083"/>
    <x v="3"/>
    <x v="74"/>
    <x v="69"/>
    <x v="4"/>
    <x v="0"/>
    <n v="84"/>
    <n v="73.38"/>
    <n v="71.42"/>
    <n v="9"/>
    <x v="0"/>
    <n v="6"/>
    <n v="1.9599999999999937"/>
    <x v="82"/>
    <n v="164.63999999999947"/>
  </r>
  <r>
    <s v="PO-00084"/>
    <x v="1"/>
    <x v="75"/>
    <x v="70"/>
    <x v="3"/>
    <x v="1"/>
    <n v="255"/>
    <n v="38.64"/>
    <n v="33.590000000000003"/>
    <n v="27"/>
    <x v="1"/>
    <n v="15"/>
    <n v="5.0499999999999972"/>
    <x v="83"/>
    <n v="1287.7499999999993"/>
  </r>
  <r>
    <s v="PO-00085"/>
    <x v="2"/>
    <x v="76"/>
    <x v="71"/>
    <x v="1"/>
    <x v="1"/>
    <n v="1154"/>
    <n v="27.2"/>
    <n v="26.07"/>
    <n v="58"/>
    <x v="0"/>
    <n v="16"/>
    <n v="1.129999999999999"/>
    <x v="84"/>
    <n v="1304.0199999999988"/>
  </r>
  <r>
    <s v="PO-00086"/>
    <x v="1"/>
    <x v="77"/>
    <x v="19"/>
    <x v="0"/>
    <x v="1"/>
    <n v="1635"/>
    <n v="56.91"/>
    <n v="54.37"/>
    <n v="262"/>
    <x v="1"/>
    <n v="8"/>
    <n v="2.5399999999999991"/>
    <x v="85"/>
    <n v="4152.8999999999987"/>
  </r>
  <r>
    <s v="PO-00087"/>
    <x v="1"/>
    <x v="66"/>
    <x v="72"/>
    <x v="3"/>
    <x v="1"/>
    <n v="1945"/>
    <n v="46.19"/>
    <n v="40.119999999999997"/>
    <n v="278"/>
    <x v="1"/>
    <n v="10"/>
    <n v="6.07"/>
    <x v="86"/>
    <n v="11806.150000000001"/>
  </r>
  <r>
    <s v="PO-00088"/>
    <x v="1"/>
    <x v="78"/>
    <x v="73"/>
    <x v="1"/>
    <x v="2"/>
    <n v="1461"/>
    <n v="64.09"/>
    <n v="63.39"/>
    <n v="228"/>
    <x v="1"/>
    <n v="15"/>
    <n v="0.70000000000000284"/>
    <x v="87"/>
    <n v="1022.7000000000041"/>
  </r>
  <r>
    <s v="PO-00089"/>
    <x v="1"/>
    <x v="79"/>
    <x v="74"/>
    <x v="4"/>
    <x v="1"/>
    <n v="1075"/>
    <n v="18.53"/>
    <n v="16.12"/>
    <n v="147"/>
    <x v="0"/>
    <n v="8"/>
    <n v="2.41"/>
    <x v="88"/>
    <n v="2590.75"/>
  </r>
  <r>
    <s v="PO-00090"/>
    <x v="0"/>
    <x v="4"/>
    <x v="13"/>
    <x v="2"/>
    <x v="1"/>
    <n v="1071"/>
    <n v="101.6"/>
    <n v="93.91"/>
    <n v="25"/>
    <x v="0"/>
    <s v=""/>
    <n v="7.6899999999999977"/>
    <x v="89"/>
    <n v="8235.989999999998"/>
  </r>
  <r>
    <s v="PO-00091"/>
    <x v="4"/>
    <x v="80"/>
    <x v="75"/>
    <x v="2"/>
    <x v="3"/>
    <n v="1463"/>
    <n v="101.23"/>
    <n v="86.17"/>
    <n v="43"/>
    <x v="0"/>
    <n v="19"/>
    <n v="15.060000000000002"/>
    <x v="90"/>
    <n v="22032.780000000002"/>
  </r>
  <r>
    <s v="PO-00092"/>
    <x v="3"/>
    <x v="81"/>
    <x v="76"/>
    <x v="3"/>
    <x v="1"/>
    <n v="615"/>
    <n v="78.3"/>
    <n v="73.680000000000007"/>
    <n v="69"/>
    <x v="0"/>
    <n v="7"/>
    <n v="4.6199999999999903"/>
    <x v="91"/>
    <n v="2841.2999999999943"/>
  </r>
  <r>
    <s v="PO-00093"/>
    <x v="2"/>
    <x v="82"/>
    <x v="77"/>
    <x v="4"/>
    <x v="1"/>
    <n v="1179"/>
    <n v="61.74"/>
    <n v="56.28"/>
    <m/>
    <x v="0"/>
    <n v="18"/>
    <n v="5.4600000000000009"/>
    <x v="92"/>
    <n v="6437.3400000000011"/>
  </r>
  <r>
    <s v="PO-00094"/>
    <x v="0"/>
    <x v="83"/>
    <x v="78"/>
    <x v="4"/>
    <x v="2"/>
    <n v="1845"/>
    <n v="39.56"/>
    <n v="37.630000000000003"/>
    <n v="45"/>
    <x v="0"/>
    <n v="5"/>
    <n v="1.9299999999999997"/>
    <x v="93"/>
    <n v="3560.8499999999995"/>
  </r>
  <r>
    <s v="PO-00095"/>
    <x v="3"/>
    <x v="84"/>
    <x v="13"/>
    <x v="4"/>
    <x v="0"/>
    <n v="1895"/>
    <n v="91.98"/>
    <n v="86.27"/>
    <n v="170"/>
    <x v="0"/>
    <s v=""/>
    <n v="5.710000000000008"/>
    <x v="94"/>
    <n v="10820.450000000015"/>
  </r>
  <r>
    <s v="PO-00096"/>
    <x v="4"/>
    <x v="85"/>
    <x v="79"/>
    <x v="1"/>
    <x v="2"/>
    <n v="1550"/>
    <n v="79.86"/>
    <n v="69.569999999999993"/>
    <n v="32"/>
    <x v="1"/>
    <n v="3"/>
    <n v="10.290000000000006"/>
    <x v="95"/>
    <n v="15949.500000000009"/>
  </r>
  <r>
    <s v="PO-00097"/>
    <x v="1"/>
    <x v="86"/>
    <x v="80"/>
    <x v="2"/>
    <x v="1"/>
    <n v="752"/>
    <n v="26.85"/>
    <n v="24.37"/>
    <m/>
    <x v="1"/>
    <n v="10"/>
    <n v="2.4800000000000004"/>
    <x v="96"/>
    <n v="1864.9600000000003"/>
  </r>
  <r>
    <s v="PO-00098"/>
    <x v="4"/>
    <x v="87"/>
    <x v="81"/>
    <x v="4"/>
    <x v="1"/>
    <n v="451"/>
    <n v="95.2"/>
    <n v="90.07"/>
    <n v="21"/>
    <x v="0"/>
    <n v="19"/>
    <n v="5.1300000000000097"/>
    <x v="97"/>
    <n v="2313.6300000000042"/>
  </r>
  <r>
    <s v="PO-00099"/>
    <x v="3"/>
    <x v="88"/>
    <x v="13"/>
    <x v="0"/>
    <x v="1"/>
    <n v="779"/>
    <n v="93.69"/>
    <n v="90.92"/>
    <n v="66"/>
    <x v="0"/>
    <s v=""/>
    <n v="2.769999999999996"/>
    <x v="98"/>
    <n v="2157.8299999999967"/>
  </r>
  <r>
    <s v="PO-00100"/>
    <x v="3"/>
    <x v="89"/>
    <x v="82"/>
    <x v="1"/>
    <x v="3"/>
    <n v="1629"/>
    <n v="100.26"/>
    <n v="86.44"/>
    <n v="187"/>
    <x v="1"/>
    <n v="15"/>
    <n v="13.820000000000007"/>
    <x v="99"/>
    <n v="22512.780000000013"/>
  </r>
  <r>
    <s v="PO-00101"/>
    <x v="0"/>
    <x v="90"/>
    <x v="83"/>
    <x v="0"/>
    <x v="1"/>
    <n v="211"/>
    <n v="75.69"/>
    <n v="65.400000000000006"/>
    <n v="2"/>
    <x v="0"/>
    <n v="-5"/>
    <n v="10.289999999999992"/>
    <x v="100"/>
    <n v="2171.1899999999982"/>
  </r>
  <r>
    <s v="PO-00102"/>
    <x v="0"/>
    <x v="91"/>
    <x v="13"/>
    <x v="0"/>
    <x v="1"/>
    <n v="251"/>
    <n v="67.489999999999995"/>
    <n v="64.48"/>
    <n v="2"/>
    <x v="0"/>
    <s v=""/>
    <n v="3.0099999999999909"/>
    <x v="101"/>
    <n v="755.50999999999772"/>
  </r>
  <r>
    <s v="PO-00103"/>
    <x v="2"/>
    <x v="13"/>
    <x v="14"/>
    <x v="3"/>
    <x v="1"/>
    <n v="1045"/>
    <n v="47.88"/>
    <n v="44.65"/>
    <n v="69"/>
    <x v="0"/>
    <n v="16"/>
    <n v="3.230000000000004"/>
    <x v="102"/>
    <n v="3375.350000000004"/>
  </r>
  <r>
    <s v="PO-00104"/>
    <x v="1"/>
    <x v="92"/>
    <x v="84"/>
    <x v="1"/>
    <x v="1"/>
    <n v="319"/>
    <n v="98.64"/>
    <n v="89.15"/>
    <n v="57"/>
    <x v="0"/>
    <n v="20"/>
    <n v="9.4899999999999949"/>
    <x v="103"/>
    <n v="3027.3099999999986"/>
  </r>
  <r>
    <s v="PO-00105"/>
    <x v="4"/>
    <x v="93"/>
    <x v="85"/>
    <x v="0"/>
    <x v="2"/>
    <n v="1936"/>
    <n v="93.66"/>
    <n v="92.24"/>
    <n v="58"/>
    <x v="0"/>
    <n v="14"/>
    <n v="1.4200000000000017"/>
    <x v="104"/>
    <n v="2749.1200000000035"/>
  </r>
  <r>
    <s v="PO-00106"/>
    <x v="1"/>
    <x v="94"/>
    <x v="86"/>
    <x v="1"/>
    <x v="0"/>
    <n v="865"/>
    <n v="14.7"/>
    <n v="13.14"/>
    <n v="135"/>
    <x v="1"/>
    <n v="20"/>
    <n v="1.5599999999999987"/>
    <x v="105"/>
    <n v="1349.399999999999"/>
  </r>
  <r>
    <s v="PO-00107"/>
    <x v="4"/>
    <x v="95"/>
    <x v="87"/>
    <x v="4"/>
    <x v="1"/>
    <n v="1344"/>
    <n v="12.5"/>
    <n v="10.87"/>
    <n v="44"/>
    <x v="0"/>
    <n v="3"/>
    <n v="1.6300000000000008"/>
    <x v="106"/>
    <n v="2190.7200000000012"/>
  </r>
  <r>
    <s v="PO-00108"/>
    <x v="1"/>
    <x v="96"/>
    <x v="88"/>
    <x v="3"/>
    <x v="3"/>
    <n v="505"/>
    <n v="45.42"/>
    <n v="40.369999999999997"/>
    <n v="62"/>
    <x v="0"/>
    <n v="19"/>
    <n v="5.0500000000000043"/>
    <x v="107"/>
    <n v="2550.2500000000023"/>
  </r>
  <r>
    <s v="PO-00109"/>
    <x v="3"/>
    <x v="97"/>
    <x v="89"/>
    <x v="2"/>
    <x v="1"/>
    <n v="1535"/>
    <n v="90.83"/>
    <n v="78.28"/>
    <n v="151"/>
    <x v="1"/>
    <n v="1"/>
    <n v="12.549999999999997"/>
    <x v="108"/>
    <n v="19264.249999999996"/>
  </r>
  <r>
    <s v="PO-00110"/>
    <x v="3"/>
    <x v="98"/>
    <x v="13"/>
    <x v="0"/>
    <x v="1"/>
    <n v="1800"/>
    <n v="103.8"/>
    <n v="96.27"/>
    <n v="166"/>
    <x v="0"/>
    <s v=""/>
    <n v="7.5300000000000011"/>
    <x v="109"/>
    <n v="13554.000000000002"/>
  </r>
  <r>
    <s v="PO-00111"/>
    <x v="1"/>
    <x v="99"/>
    <x v="90"/>
    <x v="3"/>
    <x v="3"/>
    <n v="1325"/>
    <n v="24.36"/>
    <n v="22.75"/>
    <n v="206"/>
    <x v="0"/>
    <n v="9"/>
    <n v="1.6099999999999994"/>
    <x v="110"/>
    <n v="2133.2499999999991"/>
  </r>
  <r>
    <s v="PO-00112"/>
    <x v="2"/>
    <x v="100"/>
    <x v="91"/>
    <x v="3"/>
    <x v="1"/>
    <n v="1066"/>
    <n v="70.45"/>
    <n v="65.88"/>
    <n v="56"/>
    <x v="1"/>
    <n v="6"/>
    <n v="4.5700000000000074"/>
    <x v="111"/>
    <n v="4871.6200000000081"/>
  </r>
  <r>
    <s v="PO-00113"/>
    <x v="3"/>
    <x v="101"/>
    <x v="92"/>
    <x v="3"/>
    <x v="1"/>
    <n v="1775"/>
    <n v="47.82"/>
    <n v="45.86"/>
    <n v="180"/>
    <x v="0"/>
    <n v="15"/>
    <n v="1.9600000000000009"/>
    <x v="112"/>
    <n v="3479.0000000000014"/>
  </r>
  <r>
    <s v="PO-00114"/>
    <x v="2"/>
    <x v="102"/>
    <x v="13"/>
    <x v="3"/>
    <x v="2"/>
    <n v="345"/>
    <n v="103.62"/>
    <n v="98.09"/>
    <n v="25"/>
    <x v="1"/>
    <s v=""/>
    <n v="5.5300000000000011"/>
    <x v="113"/>
    <n v="1907.8500000000004"/>
  </r>
  <r>
    <s v="PO-00115"/>
    <x v="3"/>
    <x v="103"/>
    <x v="91"/>
    <x v="4"/>
    <x v="1"/>
    <n v="1798"/>
    <n v="94.8"/>
    <n v="91.83"/>
    <m/>
    <x v="0"/>
    <n v="19"/>
    <n v="2.9699999999999989"/>
    <x v="114"/>
    <n v="5340.0599999999977"/>
  </r>
  <r>
    <s v="PO-00116"/>
    <x v="0"/>
    <x v="104"/>
    <x v="93"/>
    <x v="1"/>
    <x v="1"/>
    <n v="769"/>
    <n v="91.86"/>
    <n v="86.55"/>
    <n v="17"/>
    <x v="0"/>
    <n v="16"/>
    <n v="5.3100000000000023"/>
    <x v="115"/>
    <n v="4083.3900000000017"/>
  </r>
  <r>
    <s v="PO-00117"/>
    <x v="0"/>
    <x v="105"/>
    <x v="13"/>
    <x v="2"/>
    <x v="1"/>
    <n v="1822"/>
    <n v="53.23"/>
    <n v="47.49"/>
    <n v="39"/>
    <x v="0"/>
    <s v=""/>
    <n v="5.7399999999999949"/>
    <x v="116"/>
    <n v="10458.279999999992"/>
  </r>
  <r>
    <s v="PO-00118"/>
    <x v="1"/>
    <x v="106"/>
    <x v="94"/>
    <x v="2"/>
    <x v="1"/>
    <n v="387"/>
    <n v="49.23"/>
    <n v="45.41"/>
    <n v="61"/>
    <x v="0"/>
    <n v="14"/>
    <n v="3.8200000000000003"/>
    <x v="117"/>
    <n v="1478.3400000000001"/>
  </r>
  <r>
    <s v="PO-00119"/>
    <x v="4"/>
    <x v="6"/>
    <x v="95"/>
    <x v="1"/>
    <x v="1"/>
    <n v="928"/>
    <n v="35.299999999999997"/>
    <n v="32.520000000000003"/>
    <n v="26"/>
    <x v="0"/>
    <n v="4"/>
    <n v="2.779999999999994"/>
    <x v="118"/>
    <n v="2579.8399999999947"/>
  </r>
  <r>
    <s v="PO-00120"/>
    <x v="0"/>
    <x v="107"/>
    <x v="96"/>
    <x v="2"/>
    <x v="2"/>
    <n v="1126"/>
    <n v="15.68"/>
    <n v="14.97"/>
    <n v="27"/>
    <x v="0"/>
    <n v="11"/>
    <n v="0.70999999999999908"/>
    <x v="119"/>
    <n v="799.45999999999901"/>
  </r>
  <r>
    <s v="PO-00121"/>
    <x v="3"/>
    <x v="21"/>
    <x v="97"/>
    <x v="3"/>
    <x v="0"/>
    <n v="841"/>
    <n v="95.73"/>
    <n v="85.33"/>
    <n v="81"/>
    <x v="0"/>
    <n v="16"/>
    <n v="10.400000000000006"/>
    <x v="120"/>
    <n v="8746.4000000000051"/>
  </r>
  <r>
    <s v="PO-00122"/>
    <x v="3"/>
    <x v="108"/>
    <x v="98"/>
    <x v="4"/>
    <x v="1"/>
    <n v="1995"/>
    <n v="90.65"/>
    <n v="77.75"/>
    <n v="206"/>
    <x v="0"/>
    <n v="13"/>
    <n v="12.900000000000006"/>
    <x v="121"/>
    <n v="25735.500000000011"/>
  </r>
  <r>
    <s v="PO-00123"/>
    <x v="0"/>
    <x v="109"/>
    <x v="99"/>
    <x v="3"/>
    <x v="1"/>
    <n v="266"/>
    <n v="103.97"/>
    <n v="101.44"/>
    <n v="6"/>
    <x v="0"/>
    <n v="18"/>
    <n v="2.5300000000000011"/>
    <x v="122"/>
    <n v="672.98000000000025"/>
  </r>
  <r>
    <s v="PO-00124"/>
    <x v="0"/>
    <x v="110"/>
    <x v="100"/>
    <x v="3"/>
    <x v="0"/>
    <n v="813"/>
    <n v="109.17"/>
    <n v="107.39"/>
    <n v="14"/>
    <x v="0"/>
    <n v="3"/>
    <n v="1.7800000000000011"/>
    <x v="123"/>
    <n v="1447.140000000001"/>
  </r>
  <r>
    <s v="PO-00125"/>
    <x v="4"/>
    <x v="111"/>
    <x v="12"/>
    <x v="4"/>
    <x v="1"/>
    <n v="237"/>
    <n v="64.19"/>
    <n v="59.01"/>
    <n v="7"/>
    <x v="0"/>
    <n v="11"/>
    <n v="5.18"/>
    <x v="124"/>
    <n v="1227.6599999999999"/>
  </r>
  <r>
    <s v="PO-00126"/>
    <x v="0"/>
    <x v="112"/>
    <x v="101"/>
    <x v="0"/>
    <x v="0"/>
    <n v="429"/>
    <n v="86.73"/>
    <n v="75.09"/>
    <n v="9"/>
    <x v="0"/>
    <n v="13"/>
    <n v="11.64"/>
    <x v="125"/>
    <n v="4993.5600000000004"/>
  </r>
  <r>
    <s v="PO-00127"/>
    <x v="1"/>
    <x v="113"/>
    <x v="102"/>
    <x v="2"/>
    <x v="1"/>
    <n v="542"/>
    <n v="101.21"/>
    <n v="93.11"/>
    <n v="78"/>
    <x v="1"/>
    <n v="1"/>
    <n v="8.0999999999999943"/>
    <x v="126"/>
    <n v="4390.1999999999971"/>
  </r>
  <r>
    <s v="PO-00128"/>
    <x v="4"/>
    <x v="54"/>
    <x v="103"/>
    <x v="4"/>
    <x v="1"/>
    <n v="1114"/>
    <n v="91.66"/>
    <n v="85.53"/>
    <n v="35"/>
    <x v="0"/>
    <n v="18"/>
    <n v="6.1299999999999955"/>
    <x v="127"/>
    <n v="6828.8199999999952"/>
  </r>
  <r>
    <s v="PO-00129"/>
    <x v="0"/>
    <x v="87"/>
    <x v="90"/>
    <x v="1"/>
    <x v="1"/>
    <n v="1230"/>
    <n v="33.39"/>
    <n v="30.85"/>
    <n v="26"/>
    <x v="0"/>
    <n v="2"/>
    <n v="2.5399999999999991"/>
    <x v="128"/>
    <n v="3124.1999999999989"/>
  </r>
  <r>
    <s v="PO-00130"/>
    <x v="3"/>
    <x v="114"/>
    <x v="6"/>
    <x v="1"/>
    <x v="1"/>
    <n v="64"/>
    <n v="51.56"/>
    <n v="50.88"/>
    <n v="5"/>
    <x v="0"/>
    <n v="12"/>
    <n v="0.67999999999999972"/>
    <x v="129"/>
    <n v="43.519999999999982"/>
  </r>
  <r>
    <s v="PO-00131"/>
    <x v="0"/>
    <x v="115"/>
    <x v="104"/>
    <x v="1"/>
    <x v="1"/>
    <n v="1886"/>
    <n v="23.46"/>
    <n v="23.18"/>
    <m/>
    <x v="0"/>
    <n v="16"/>
    <n v="0.28000000000000114"/>
    <x v="130"/>
    <n v="528.0800000000022"/>
  </r>
  <r>
    <s v="PO-00132"/>
    <x v="1"/>
    <x v="116"/>
    <x v="105"/>
    <x v="0"/>
    <x v="1"/>
    <n v="114"/>
    <n v="103.53"/>
    <n v="101.54"/>
    <n v="14"/>
    <x v="0"/>
    <n v="2"/>
    <n v="1.9899999999999949"/>
    <x v="131"/>
    <n v="226.85999999999942"/>
  </r>
  <r>
    <s v="PO-00133"/>
    <x v="1"/>
    <x v="117"/>
    <x v="58"/>
    <x v="4"/>
    <x v="0"/>
    <n v="1930"/>
    <n v="65.52"/>
    <n v="56.9"/>
    <n v="282"/>
    <x v="0"/>
    <n v="18"/>
    <n v="8.6199999999999974"/>
    <x v="132"/>
    <n v="16636.599999999995"/>
  </r>
  <r>
    <s v="PO-00134"/>
    <x v="3"/>
    <x v="118"/>
    <x v="106"/>
    <x v="0"/>
    <x v="3"/>
    <n v="1912"/>
    <n v="30.73"/>
    <n v="29.82"/>
    <n v="191"/>
    <x v="0"/>
    <n v="10"/>
    <n v="0.91000000000000014"/>
    <x v="133"/>
    <n v="1739.9200000000003"/>
  </r>
  <r>
    <s v="PO-00135"/>
    <x v="4"/>
    <x v="119"/>
    <x v="107"/>
    <x v="1"/>
    <x v="1"/>
    <n v="570"/>
    <n v="71.510000000000005"/>
    <n v="66.47"/>
    <m/>
    <x v="0"/>
    <n v="16"/>
    <n v="5.0400000000000063"/>
    <x v="134"/>
    <n v="2872.8000000000034"/>
  </r>
  <r>
    <s v="PO-00136"/>
    <x v="3"/>
    <x v="120"/>
    <x v="108"/>
    <x v="3"/>
    <x v="1"/>
    <n v="1417"/>
    <n v="67.27"/>
    <n v="60.62"/>
    <m/>
    <x v="0"/>
    <n v="20"/>
    <n v="6.6499999999999986"/>
    <x v="135"/>
    <n v="9423.0499999999975"/>
  </r>
  <r>
    <s v="PO-00137"/>
    <x v="0"/>
    <x v="121"/>
    <x v="109"/>
    <x v="3"/>
    <x v="1"/>
    <n v="1202"/>
    <n v="46.67"/>
    <n v="44.13"/>
    <n v="21"/>
    <x v="1"/>
    <n v="6"/>
    <n v="2.5399999999999991"/>
    <x v="136"/>
    <n v="3053.079999999999"/>
  </r>
  <r>
    <s v="PO-00138"/>
    <x v="3"/>
    <x v="31"/>
    <x v="110"/>
    <x v="0"/>
    <x v="1"/>
    <n v="697"/>
    <n v="20.73"/>
    <n v="19.829999999999998"/>
    <n v="78"/>
    <x v="1"/>
    <n v="1"/>
    <n v="0.90000000000000213"/>
    <x v="137"/>
    <n v="627.30000000000143"/>
  </r>
  <r>
    <s v="PO-00139"/>
    <x v="4"/>
    <x v="122"/>
    <x v="111"/>
    <x v="1"/>
    <x v="1"/>
    <n v="1545"/>
    <n v="78.19"/>
    <n v="76.91"/>
    <n v="42"/>
    <x v="0"/>
    <n v="3"/>
    <n v="1.2800000000000011"/>
    <x v="138"/>
    <n v="1977.6000000000017"/>
  </r>
  <r>
    <s v="PO-00140"/>
    <x v="2"/>
    <x v="12"/>
    <x v="112"/>
    <x v="1"/>
    <x v="2"/>
    <n v="1136"/>
    <n v="60.81"/>
    <n v="58.25"/>
    <n v="62"/>
    <x v="0"/>
    <n v="4"/>
    <n v="2.5600000000000023"/>
    <x v="139"/>
    <n v="2908.1600000000026"/>
  </r>
  <r>
    <s v="PO-00141"/>
    <x v="3"/>
    <x v="123"/>
    <x v="113"/>
    <x v="1"/>
    <x v="1"/>
    <n v="1212"/>
    <n v="87.46"/>
    <n v="74.55"/>
    <n v="118"/>
    <x v="1"/>
    <n v="4"/>
    <n v="12.909999999999997"/>
    <x v="140"/>
    <n v="15646.919999999996"/>
  </r>
  <r>
    <s v="PO-00142"/>
    <x v="4"/>
    <x v="124"/>
    <x v="87"/>
    <x v="1"/>
    <x v="1"/>
    <n v="1572"/>
    <n v="57.38"/>
    <n v="49.32"/>
    <n v="40"/>
    <x v="0"/>
    <n v="5"/>
    <n v="8.0600000000000023"/>
    <x v="141"/>
    <n v="12670.320000000003"/>
  </r>
  <r>
    <s v="PO-00143"/>
    <x v="2"/>
    <x v="125"/>
    <x v="114"/>
    <x v="4"/>
    <x v="1"/>
    <n v="642"/>
    <n v="91.9"/>
    <n v="81.489999999999995"/>
    <n v="26"/>
    <x v="0"/>
    <n v="10"/>
    <n v="10.410000000000011"/>
    <x v="142"/>
    <n v="6683.2200000000066"/>
  </r>
  <r>
    <s v="PO-00144"/>
    <x v="4"/>
    <x v="126"/>
    <x v="64"/>
    <x v="0"/>
    <x v="1"/>
    <n v="441"/>
    <n v="63.25"/>
    <n v="54.12"/>
    <n v="16"/>
    <x v="0"/>
    <n v="9"/>
    <n v="9.1300000000000026"/>
    <x v="143"/>
    <n v="4026.3300000000013"/>
  </r>
  <r>
    <s v="PO-00145"/>
    <x v="4"/>
    <x v="123"/>
    <x v="115"/>
    <x v="0"/>
    <x v="1"/>
    <n v="1748"/>
    <n v="66.53"/>
    <n v="57.11"/>
    <m/>
    <x v="0"/>
    <n v="16"/>
    <n v="9.4200000000000017"/>
    <x v="144"/>
    <n v="16466.160000000003"/>
  </r>
  <r>
    <s v="PO-00146"/>
    <x v="2"/>
    <x v="127"/>
    <x v="13"/>
    <x v="4"/>
    <x v="3"/>
    <n v="468"/>
    <n v="95.57"/>
    <n v="91.8"/>
    <n v="24"/>
    <x v="0"/>
    <s v=""/>
    <n v="3.769999999999996"/>
    <x v="145"/>
    <n v="1764.3599999999981"/>
  </r>
  <r>
    <s v="PO-00147"/>
    <x v="3"/>
    <x v="128"/>
    <x v="44"/>
    <x v="3"/>
    <x v="1"/>
    <n v="338"/>
    <n v="50.25"/>
    <n v="46.28"/>
    <n v="49"/>
    <x v="1"/>
    <n v="18"/>
    <n v="3.9699999999999989"/>
    <x v="146"/>
    <n v="1341.8599999999997"/>
  </r>
  <r>
    <s v="PO-00148"/>
    <x v="2"/>
    <x v="129"/>
    <x v="116"/>
    <x v="0"/>
    <x v="1"/>
    <n v="428"/>
    <n v="22.94"/>
    <n v="21.52"/>
    <n v="26"/>
    <x v="0"/>
    <n v="7"/>
    <n v="1.4200000000000017"/>
    <x v="147"/>
    <n v="607.76000000000067"/>
  </r>
  <r>
    <s v="PO-00149"/>
    <x v="3"/>
    <x v="130"/>
    <x v="13"/>
    <x v="2"/>
    <x v="1"/>
    <n v="1846"/>
    <n v="13.72"/>
    <n v="12.62"/>
    <n v="216"/>
    <x v="0"/>
    <s v=""/>
    <n v="1.1000000000000014"/>
    <x v="148"/>
    <n v="2030.6000000000026"/>
  </r>
  <r>
    <s v="PO-00150"/>
    <x v="4"/>
    <x v="131"/>
    <x v="117"/>
    <x v="0"/>
    <x v="1"/>
    <n v="1563"/>
    <n v="77.959999999999994"/>
    <n v="70.8"/>
    <n v="41"/>
    <x v="0"/>
    <n v="5"/>
    <n v="7.1599999999999966"/>
    <x v="149"/>
    <n v="11191.079999999994"/>
  </r>
  <r>
    <s v="PO-00151"/>
    <x v="3"/>
    <x v="122"/>
    <x v="69"/>
    <x v="0"/>
    <x v="1"/>
    <n v="280"/>
    <n v="73.069999999999993"/>
    <n v="69.290000000000006"/>
    <n v="30"/>
    <x v="0"/>
    <n v="9"/>
    <n v="3.7799999999999869"/>
    <x v="150"/>
    <n v="1058.3999999999965"/>
  </r>
  <r>
    <s v="PO-00152"/>
    <x v="1"/>
    <x v="132"/>
    <x v="118"/>
    <x v="3"/>
    <x v="1"/>
    <n v="1067"/>
    <n v="74.47"/>
    <n v="64.16"/>
    <m/>
    <x v="1"/>
    <n v="14"/>
    <n v="10.310000000000002"/>
    <x v="151"/>
    <n v="11000.770000000002"/>
  </r>
  <r>
    <s v="PO-00153"/>
    <x v="2"/>
    <x v="133"/>
    <x v="31"/>
    <x v="4"/>
    <x v="3"/>
    <n v="90"/>
    <n v="32.380000000000003"/>
    <n v="29.96"/>
    <n v="7"/>
    <x v="0"/>
    <n v="17"/>
    <n v="2.4200000000000017"/>
    <x v="152"/>
    <n v="217.80000000000015"/>
  </r>
  <r>
    <s v="PO-00154"/>
    <x v="2"/>
    <x v="46"/>
    <x v="119"/>
    <x v="3"/>
    <x v="1"/>
    <n v="1101"/>
    <n v="24.28"/>
    <n v="22.73"/>
    <n v="59"/>
    <x v="1"/>
    <n v="1"/>
    <n v="1.5500000000000007"/>
    <x v="153"/>
    <n v="1706.5500000000009"/>
  </r>
  <r>
    <s v="PO-00155"/>
    <x v="0"/>
    <x v="73"/>
    <x v="120"/>
    <x v="3"/>
    <x v="1"/>
    <n v="184"/>
    <n v="11.82"/>
    <n v="10.51"/>
    <n v="4"/>
    <x v="0"/>
    <n v="10"/>
    <n v="1.3100000000000005"/>
    <x v="154"/>
    <n v="241.04000000000008"/>
  </r>
  <r>
    <s v="PO-00156"/>
    <x v="4"/>
    <x v="134"/>
    <x v="121"/>
    <x v="4"/>
    <x v="1"/>
    <n v="250"/>
    <n v="45.92"/>
    <n v="41.02"/>
    <n v="3"/>
    <x v="0"/>
    <n v="19"/>
    <n v="4.8999999999999986"/>
    <x v="155"/>
    <n v="1224.9999999999995"/>
  </r>
  <r>
    <s v="PO-00157"/>
    <x v="4"/>
    <x v="33"/>
    <x v="13"/>
    <x v="2"/>
    <x v="0"/>
    <n v="1913"/>
    <n v="66.56"/>
    <n v="61.34"/>
    <n v="61"/>
    <x v="0"/>
    <s v=""/>
    <n v="5.2199999999999989"/>
    <x v="156"/>
    <n v="9985.8599999999969"/>
  </r>
  <r>
    <s v="PO-00158"/>
    <x v="3"/>
    <x v="1"/>
    <x v="122"/>
    <x v="4"/>
    <x v="1"/>
    <n v="829"/>
    <n v="45.98"/>
    <n v="40.39"/>
    <m/>
    <x v="0"/>
    <n v="5"/>
    <n v="5.5899999999999963"/>
    <x v="157"/>
    <n v="4634.1099999999969"/>
  </r>
  <r>
    <s v="PO-00159"/>
    <x v="1"/>
    <x v="51"/>
    <x v="123"/>
    <x v="3"/>
    <x v="1"/>
    <n v="979"/>
    <n v="51.59"/>
    <n v="49.69"/>
    <n v="148"/>
    <x v="0"/>
    <n v="16"/>
    <n v="1.9000000000000057"/>
    <x v="158"/>
    <n v="1860.1000000000056"/>
  </r>
  <r>
    <s v="PO-00160"/>
    <x v="4"/>
    <x v="135"/>
    <x v="124"/>
    <x v="4"/>
    <x v="2"/>
    <n v="1106"/>
    <n v="97.77"/>
    <n v="90.45"/>
    <n v="31"/>
    <x v="0"/>
    <n v="18"/>
    <n v="7.3199999999999932"/>
    <x v="159"/>
    <n v="8095.9199999999928"/>
  </r>
  <r>
    <s v="PO-00161"/>
    <x v="1"/>
    <x v="136"/>
    <x v="125"/>
    <x v="0"/>
    <x v="3"/>
    <n v="1121"/>
    <n v="42.38"/>
    <n v="38.340000000000003"/>
    <n v="152"/>
    <x v="0"/>
    <n v="13"/>
    <n v="4.0399999999999991"/>
    <x v="160"/>
    <n v="4528.8399999999992"/>
  </r>
  <r>
    <s v="PO-00162"/>
    <x v="0"/>
    <x v="65"/>
    <x v="126"/>
    <x v="0"/>
    <x v="1"/>
    <n v="552"/>
    <n v="60.48"/>
    <n v="56.78"/>
    <n v="10"/>
    <x v="0"/>
    <n v="11"/>
    <n v="3.6999999999999957"/>
    <x v="161"/>
    <n v="2042.3999999999976"/>
  </r>
  <r>
    <s v="PO-00163"/>
    <x v="2"/>
    <x v="137"/>
    <x v="127"/>
    <x v="2"/>
    <x v="1"/>
    <n v="456"/>
    <n v="80.53"/>
    <n v="77.86"/>
    <n v="26"/>
    <x v="0"/>
    <n v="8"/>
    <n v="2.6700000000000017"/>
    <x v="162"/>
    <n v="1217.5200000000009"/>
  </r>
  <r>
    <s v="PO-00164"/>
    <x v="1"/>
    <x v="109"/>
    <x v="128"/>
    <x v="2"/>
    <x v="1"/>
    <n v="1647"/>
    <n v="47.52"/>
    <n v="44.92"/>
    <m/>
    <x v="0"/>
    <n v="8"/>
    <n v="2.6000000000000014"/>
    <x v="163"/>
    <n v="4282.2000000000025"/>
  </r>
  <r>
    <s v="PO-00165"/>
    <x v="4"/>
    <x v="138"/>
    <x v="92"/>
    <x v="4"/>
    <x v="3"/>
    <n v="1801"/>
    <n v="71.27"/>
    <n v="61.24"/>
    <n v="43"/>
    <x v="0"/>
    <n v="14"/>
    <n v="10.029999999999994"/>
    <x v="164"/>
    <n v="18064.029999999988"/>
  </r>
  <r>
    <s v="PO-00166"/>
    <x v="2"/>
    <x v="139"/>
    <x v="129"/>
    <x v="4"/>
    <x v="1"/>
    <n v="854"/>
    <n v="90.24"/>
    <n v="85.53"/>
    <m/>
    <x v="0"/>
    <n v="16"/>
    <n v="4.7099999999999937"/>
    <x v="165"/>
    <n v="4022.3399999999947"/>
  </r>
  <r>
    <s v="PO-00167"/>
    <x v="1"/>
    <x v="140"/>
    <x v="130"/>
    <x v="4"/>
    <x v="1"/>
    <n v="148"/>
    <n v="103.57"/>
    <n v="98.62"/>
    <n v="23"/>
    <x v="1"/>
    <n v="13"/>
    <n v="4.9499999999999886"/>
    <x v="166"/>
    <n v="732.59999999999832"/>
  </r>
  <r>
    <s v="PO-00168"/>
    <x v="1"/>
    <x v="141"/>
    <x v="131"/>
    <x v="1"/>
    <x v="1"/>
    <n v="733"/>
    <n v="23.59"/>
    <n v="22.85"/>
    <n v="92"/>
    <x v="0"/>
    <n v="5"/>
    <n v="0.73999999999999844"/>
    <x v="167"/>
    <n v="542.41999999999882"/>
  </r>
  <r>
    <s v="PO-00169"/>
    <x v="3"/>
    <x v="142"/>
    <x v="132"/>
    <x v="3"/>
    <x v="1"/>
    <n v="1945"/>
    <n v="103.2"/>
    <n v="88.56"/>
    <m/>
    <x v="0"/>
    <n v="2"/>
    <n v="14.64"/>
    <x v="168"/>
    <n v="28474.800000000003"/>
  </r>
  <r>
    <s v="PO-00170"/>
    <x v="2"/>
    <x v="143"/>
    <x v="133"/>
    <x v="3"/>
    <x v="1"/>
    <n v="775"/>
    <n v="57"/>
    <n v="49.14"/>
    <n v="48"/>
    <x v="0"/>
    <n v="19"/>
    <n v="7.8599999999999994"/>
    <x v="169"/>
    <n v="6091.5"/>
  </r>
  <r>
    <s v="PO-00171"/>
    <x v="1"/>
    <x v="0"/>
    <x v="134"/>
    <x v="2"/>
    <x v="1"/>
    <n v="1620"/>
    <n v="36.729999999999997"/>
    <n v="33.450000000000003"/>
    <n v="235"/>
    <x v="1"/>
    <n v="4"/>
    <n v="3.279999999999994"/>
    <x v="170"/>
    <n v="5313.5999999999904"/>
  </r>
  <r>
    <s v="PO-00172"/>
    <x v="3"/>
    <x v="140"/>
    <x v="135"/>
    <x v="0"/>
    <x v="1"/>
    <n v="1010"/>
    <n v="55.68"/>
    <n v="50.86"/>
    <m/>
    <x v="0"/>
    <n v="15"/>
    <n v="4.82"/>
    <x v="171"/>
    <n v="4868.2000000000007"/>
  </r>
  <r>
    <s v="PO-00173"/>
    <x v="4"/>
    <x v="77"/>
    <x v="48"/>
    <x v="0"/>
    <x v="1"/>
    <n v="1812"/>
    <n v="108.02"/>
    <n v="101.02"/>
    <n v="51"/>
    <x v="0"/>
    <n v="15"/>
    <n v="7"/>
    <x v="172"/>
    <n v="12684"/>
  </r>
  <r>
    <s v="PO-00174"/>
    <x v="1"/>
    <x v="22"/>
    <x v="136"/>
    <x v="0"/>
    <x v="1"/>
    <n v="662"/>
    <n v="55.97"/>
    <n v="50"/>
    <n v="100"/>
    <x v="0"/>
    <n v="5"/>
    <n v="5.9699999999999989"/>
    <x v="173"/>
    <n v="3952.1399999999994"/>
  </r>
  <r>
    <s v="PO-00175"/>
    <x v="3"/>
    <x v="120"/>
    <x v="137"/>
    <x v="0"/>
    <x v="3"/>
    <n v="1535"/>
    <n v="40.58"/>
    <n v="38.71"/>
    <n v="165"/>
    <x v="0"/>
    <n v="5"/>
    <n v="1.8699999999999974"/>
    <x v="174"/>
    <n v="2870.4499999999962"/>
  </r>
  <r>
    <s v="PO-00176"/>
    <x v="3"/>
    <x v="144"/>
    <x v="138"/>
    <x v="3"/>
    <x v="1"/>
    <n v="692"/>
    <n v="71.03"/>
    <n v="67.739999999999995"/>
    <n v="70"/>
    <x v="0"/>
    <n v="9"/>
    <n v="3.2900000000000063"/>
    <x v="175"/>
    <n v="2276.6800000000044"/>
  </r>
  <r>
    <s v="PO-00177"/>
    <x v="2"/>
    <x v="145"/>
    <x v="139"/>
    <x v="1"/>
    <x v="1"/>
    <n v="1842"/>
    <n v="32.4"/>
    <n v="28.08"/>
    <n v="96"/>
    <x v="0"/>
    <n v="13"/>
    <n v="4.32"/>
    <x v="176"/>
    <n v="7957.4400000000005"/>
  </r>
  <r>
    <s v="PO-00178"/>
    <x v="3"/>
    <x v="146"/>
    <x v="140"/>
    <x v="0"/>
    <x v="0"/>
    <n v="1078"/>
    <n v="18.34"/>
    <n v="17.41"/>
    <n v="102"/>
    <x v="0"/>
    <n v="11"/>
    <n v="0.92999999999999972"/>
    <x v="177"/>
    <n v="1002.5399999999997"/>
  </r>
  <r>
    <s v="PO-00179"/>
    <x v="1"/>
    <x v="147"/>
    <x v="141"/>
    <x v="2"/>
    <x v="1"/>
    <n v="1291"/>
    <n v="23.44"/>
    <n v="22.23"/>
    <m/>
    <x v="0"/>
    <n v="18"/>
    <n v="1.2100000000000009"/>
    <x v="178"/>
    <n v="1562.110000000001"/>
  </r>
  <r>
    <s v="PO-00180"/>
    <x v="0"/>
    <x v="148"/>
    <x v="127"/>
    <x v="4"/>
    <x v="1"/>
    <n v="552"/>
    <n v="21.52"/>
    <n v="18.79"/>
    <n v="13"/>
    <x v="0"/>
    <n v="11"/>
    <n v="2.7300000000000004"/>
    <x v="179"/>
    <n v="1506.9600000000003"/>
  </r>
  <r>
    <s v="PO-00181"/>
    <x v="4"/>
    <x v="149"/>
    <x v="142"/>
    <x v="4"/>
    <x v="1"/>
    <n v="816"/>
    <n v="26.04"/>
    <n v="25.61"/>
    <n v="28"/>
    <x v="0"/>
    <n v="16"/>
    <n v="0.42999999999999972"/>
    <x v="180"/>
    <n v="350.87999999999977"/>
  </r>
  <r>
    <s v="PO-00182"/>
    <x v="1"/>
    <x v="150"/>
    <x v="143"/>
    <x v="2"/>
    <x v="1"/>
    <n v="447"/>
    <n v="23.62"/>
    <n v="21.81"/>
    <n v="50"/>
    <x v="0"/>
    <n v="2"/>
    <n v="1.8100000000000023"/>
    <x v="181"/>
    <n v="809.07000000000107"/>
  </r>
  <r>
    <s v="PO-00183"/>
    <x v="1"/>
    <x v="151"/>
    <x v="144"/>
    <x v="2"/>
    <x v="2"/>
    <n v="920"/>
    <n v="73.09"/>
    <n v="70.14"/>
    <m/>
    <x v="0"/>
    <n v="8"/>
    <n v="2.9500000000000028"/>
    <x v="182"/>
    <n v="2714.0000000000027"/>
  </r>
  <r>
    <s v="PO-00184"/>
    <x v="4"/>
    <x v="152"/>
    <x v="145"/>
    <x v="2"/>
    <x v="2"/>
    <n v="844"/>
    <n v="26.37"/>
    <n v="25.08"/>
    <n v="38"/>
    <x v="0"/>
    <n v="10"/>
    <n v="1.2900000000000027"/>
    <x v="183"/>
    <n v="1088.7600000000023"/>
  </r>
  <r>
    <s v="PO-00185"/>
    <x v="4"/>
    <x v="1"/>
    <x v="13"/>
    <x v="1"/>
    <x v="1"/>
    <n v="442"/>
    <n v="41.73"/>
    <n v="36.450000000000003"/>
    <n v="15"/>
    <x v="0"/>
    <s v=""/>
    <n v="5.279999999999994"/>
    <x v="184"/>
    <n v="2333.7599999999975"/>
  </r>
  <r>
    <s v="PO-00186"/>
    <x v="3"/>
    <x v="153"/>
    <x v="40"/>
    <x v="4"/>
    <x v="0"/>
    <n v="256"/>
    <n v="96.15"/>
    <n v="83.44"/>
    <n v="26"/>
    <x v="0"/>
    <n v="14"/>
    <n v="12.710000000000008"/>
    <x v="185"/>
    <n v="3253.760000000002"/>
  </r>
  <r>
    <s v="PO-00187"/>
    <x v="1"/>
    <x v="154"/>
    <x v="13"/>
    <x v="1"/>
    <x v="2"/>
    <n v="1088"/>
    <n v="55.29"/>
    <n v="53.04"/>
    <n v="161"/>
    <x v="1"/>
    <s v=""/>
    <n v="2.25"/>
    <x v="186"/>
    <n v="2448"/>
  </r>
  <r>
    <s v="PO-00188"/>
    <x v="3"/>
    <x v="155"/>
    <x v="146"/>
    <x v="0"/>
    <x v="1"/>
    <n v="1931"/>
    <n v="72.88"/>
    <n v="64.69"/>
    <n v="187"/>
    <x v="0"/>
    <n v="4"/>
    <n v="8.1899999999999977"/>
    <x v="187"/>
    <n v="15814.889999999996"/>
  </r>
  <r>
    <s v="PO-00189"/>
    <x v="2"/>
    <x v="156"/>
    <x v="147"/>
    <x v="4"/>
    <x v="1"/>
    <n v="1627"/>
    <n v="25.76"/>
    <n v="25.09"/>
    <n v="74"/>
    <x v="0"/>
    <n v="10"/>
    <n v="0.67000000000000171"/>
    <x v="188"/>
    <n v="1090.0900000000029"/>
  </r>
  <r>
    <s v="PO-00190"/>
    <x v="3"/>
    <x v="157"/>
    <x v="13"/>
    <x v="2"/>
    <x v="1"/>
    <n v="941"/>
    <n v="28.4"/>
    <n v="27.21"/>
    <m/>
    <x v="1"/>
    <s v=""/>
    <n v="1.1899999999999977"/>
    <x v="189"/>
    <n v="1119.7899999999979"/>
  </r>
  <r>
    <s v="PO-00191"/>
    <x v="2"/>
    <x v="97"/>
    <x v="148"/>
    <x v="1"/>
    <x v="1"/>
    <n v="1534"/>
    <n v="14.98"/>
    <n v="12.79"/>
    <m/>
    <x v="0"/>
    <n v="2"/>
    <n v="2.1900000000000013"/>
    <x v="190"/>
    <n v="3359.4600000000019"/>
  </r>
  <r>
    <s v="PO-00192"/>
    <x v="0"/>
    <x v="49"/>
    <x v="149"/>
    <x v="3"/>
    <x v="1"/>
    <n v="1764"/>
    <n v="25.46"/>
    <n v="24.52"/>
    <n v="46"/>
    <x v="0"/>
    <n v="12"/>
    <n v="0.94000000000000128"/>
    <x v="191"/>
    <n v="1658.1600000000024"/>
  </r>
  <r>
    <s v="PO-00193"/>
    <x v="1"/>
    <x v="158"/>
    <x v="150"/>
    <x v="4"/>
    <x v="1"/>
    <n v="1648"/>
    <n v="35.42"/>
    <n v="31.46"/>
    <m/>
    <x v="1"/>
    <n v="8"/>
    <n v="3.9600000000000009"/>
    <x v="192"/>
    <n v="6526.0800000000017"/>
  </r>
  <r>
    <s v="PO-00194"/>
    <x v="2"/>
    <x v="159"/>
    <x v="151"/>
    <x v="2"/>
    <x v="1"/>
    <n v="913"/>
    <n v="28.01"/>
    <n v="24.06"/>
    <n v="53"/>
    <x v="0"/>
    <n v="19"/>
    <n v="3.9500000000000028"/>
    <x v="193"/>
    <n v="3606.3500000000026"/>
  </r>
  <r>
    <s v="PO-00195"/>
    <x v="0"/>
    <x v="160"/>
    <x v="152"/>
    <x v="2"/>
    <x v="0"/>
    <n v="792"/>
    <n v="18.16"/>
    <n v="17.25"/>
    <n v="17"/>
    <x v="0"/>
    <n v="6"/>
    <n v="0.91000000000000014"/>
    <x v="194"/>
    <n v="720.72000000000014"/>
  </r>
  <r>
    <s v="PO-00196"/>
    <x v="4"/>
    <x v="161"/>
    <x v="153"/>
    <x v="0"/>
    <x v="2"/>
    <n v="1314"/>
    <n v="22.63"/>
    <n v="21.06"/>
    <n v="44"/>
    <x v="0"/>
    <n v="3"/>
    <n v="1.5700000000000003"/>
    <x v="195"/>
    <n v="2062.9800000000005"/>
  </r>
  <r>
    <s v="PO-00197"/>
    <x v="3"/>
    <x v="162"/>
    <x v="154"/>
    <x v="1"/>
    <x v="1"/>
    <n v="613"/>
    <n v="52.5"/>
    <n v="45.19"/>
    <n v="70"/>
    <x v="0"/>
    <n v="13"/>
    <n v="7.3100000000000023"/>
    <x v="196"/>
    <n v="4481.0300000000016"/>
  </r>
  <r>
    <s v="PO-00198"/>
    <x v="0"/>
    <x v="163"/>
    <x v="155"/>
    <x v="0"/>
    <x v="1"/>
    <n v="1070"/>
    <n v="29.14"/>
    <n v="26.63"/>
    <n v="24"/>
    <x v="0"/>
    <n v="8"/>
    <n v="2.5100000000000016"/>
    <x v="197"/>
    <n v="2685.7000000000016"/>
  </r>
  <r>
    <s v="PO-00199"/>
    <x v="2"/>
    <x v="164"/>
    <x v="156"/>
    <x v="3"/>
    <x v="2"/>
    <n v="145"/>
    <n v="47.49"/>
    <n v="42.76"/>
    <n v="6"/>
    <x v="0"/>
    <n v="19"/>
    <n v="4.730000000000004"/>
    <x v="198"/>
    <n v="685.85000000000059"/>
  </r>
  <r>
    <s v="PO-00200"/>
    <x v="1"/>
    <x v="165"/>
    <x v="157"/>
    <x v="3"/>
    <x v="1"/>
    <n v="1973"/>
    <n v="59.73"/>
    <n v="54.95"/>
    <n v="291"/>
    <x v="0"/>
    <n v="15"/>
    <n v="4.779999999999994"/>
    <x v="199"/>
    <n v="9430.9399999999878"/>
  </r>
  <r>
    <s v="PO-00201"/>
    <x v="4"/>
    <x v="166"/>
    <x v="158"/>
    <x v="0"/>
    <x v="1"/>
    <n v="1807"/>
    <n v="78.63"/>
    <n v="73.08"/>
    <n v="100"/>
    <x v="0"/>
    <n v="15"/>
    <n v="5.5499999999999972"/>
    <x v="200"/>
    <n v="10028.849999999995"/>
  </r>
  <r>
    <s v="PO-00202"/>
    <x v="4"/>
    <x v="167"/>
    <x v="159"/>
    <x v="4"/>
    <x v="1"/>
    <n v="534"/>
    <n v="13.88"/>
    <n v="12.51"/>
    <n v="100"/>
    <x v="0"/>
    <n v="1"/>
    <n v="1.370000000000001"/>
    <x v="201"/>
    <n v="731.5800000000005"/>
  </r>
  <r>
    <s v="PO-00203"/>
    <x v="0"/>
    <x v="106"/>
    <x v="42"/>
    <x v="4"/>
    <x v="1"/>
    <n v="1480"/>
    <n v="85.22"/>
    <n v="75.48"/>
    <n v="100"/>
    <x v="0"/>
    <n v="15"/>
    <n v="9.7399999999999949"/>
    <x v="202"/>
    <n v="14415.199999999992"/>
  </r>
  <r>
    <s v="PO-00204"/>
    <x v="0"/>
    <x v="168"/>
    <x v="13"/>
    <x v="0"/>
    <x v="1"/>
    <n v="280"/>
    <n v="72.16"/>
    <n v="62.38"/>
    <n v="100"/>
    <x v="0"/>
    <s v=""/>
    <n v="9.779999999999994"/>
    <x v="203"/>
    <n v="2738.3999999999983"/>
  </r>
  <r>
    <s v="PO-00205"/>
    <x v="3"/>
    <x v="169"/>
    <x v="160"/>
    <x v="0"/>
    <x v="0"/>
    <n v="798"/>
    <n v="19.09"/>
    <n v="17.760000000000002"/>
    <n v="100"/>
    <x v="0"/>
    <n v="6"/>
    <n v="1.3299999999999983"/>
    <x v="204"/>
    <n v="1061.3399999999986"/>
  </r>
  <r>
    <s v="PO-00206"/>
    <x v="4"/>
    <x v="170"/>
    <x v="161"/>
    <x v="4"/>
    <x v="1"/>
    <n v="1728"/>
    <n v="94.83"/>
    <n v="90.2"/>
    <n v="100"/>
    <x v="0"/>
    <n v="12"/>
    <n v="4.6299999999999955"/>
    <x v="205"/>
    <n v="8000.6399999999921"/>
  </r>
  <r>
    <s v="PO-00207"/>
    <x v="4"/>
    <x v="96"/>
    <x v="13"/>
    <x v="1"/>
    <x v="1"/>
    <n v="1244"/>
    <n v="96.13"/>
    <n v="84.78"/>
    <n v="43"/>
    <x v="0"/>
    <s v=""/>
    <n v="11.349999999999994"/>
    <x v="206"/>
    <n v="14119.399999999992"/>
  </r>
  <r>
    <s v="PO-00208"/>
    <x v="3"/>
    <x v="146"/>
    <x v="162"/>
    <x v="0"/>
    <x v="1"/>
    <n v="590"/>
    <n v="16.89"/>
    <n v="15.56"/>
    <n v="46"/>
    <x v="1"/>
    <n v="14"/>
    <n v="1.33"/>
    <x v="207"/>
    <n v="784.7"/>
  </r>
  <r>
    <s v="PO-00209"/>
    <x v="1"/>
    <x v="171"/>
    <x v="163"/>
    <x v="2"/>
    <x v="1"/>
    <n v="1109"/>
    <n v="38.93"/>
    <n v="33.33"/>
    <n v="152"/>
    <x v="0"/>
    <n v="15"/>
    <n v="5.6000000000000014"/>
    <x v="208"/>
    <n v="6210.4000000000015"/>
  </r>
  <r>
    <s v="PO-00210"/>
    <x v="3"/>
    <x v="172"/>
    <x v="51"/>
    <x v="1"/>
    <x v="1"/>
    <n v="574"/>
    <n v="85.03"/>
    <n v="82.55"/>
    <n v="54"/>
    <x v="0"/>
    <n v="7"/>
    <n v="2.480000000000004"/>
    <x v="209"/>
    <n v="1423.5200000000023"/>
  </r>
  <r>
    <s v="PO-00211"/>
    <x v="2"/>
    <x v="173"/>
    <x v="13"/>
    <x v="0"/>
    <x v="1"/>
    <n v="1233"/>
    <n v="86.62"/>
    <n v="76.59"/>
    <n v="65"/>
    <x v="0"/>
    <s v=""/>
    <n v="10.030000000000001"/>
    <x v="210"/>
    <n v="12366.990000000002"/>
  </r>
  <r>
    <s v="PO-00212"/>
    <x v="2"/>
    <x v="174"/>
    <x v="164"/>
    <x v="2"/>
    <x v="1"/>
    <n v="1912"/>
    <n v="27.94"/>
    <n v="25.59"/>
    <n v="83"/>
    <x v="1"/>
    <n v="4"/>
    <n v="2.3500000000000014"/>
    <x v="211"/>
    <n v="4493.2000000000025"/>
  </r>
  <r>
    <s v="PO-00213"/>
    <x v="0"/>
    <x v="113"/>
    <x v="165"/>
    <x v="2"/>
    <x v="1"/>
    <n v="1772"/>
    <n v="30.72"/>
    <n v="27.76"/>
    <n v="46"/>
    <x v="1"/>
    <n v="19"/>
    <n v="2.9599999999999973"/>
    <x v="212"/>
    <n v="5245.1199999999953"/>
  </r>
  <r>
    <s v="PO-00214"/>
    <x v="3"/>
    <x v="175"/>
    <x v="166"/>
    <x v="0"/>
    <x v="1"/>
    <n v="1316"/>
    <n v="48.11"/>
    <n v="41.9"/>
    <n v="135"/>
    <x v="0"/>
    <n v="10"/>
    <n v="6.2100000000000009"/>
    <x v="213"/>
    <n v="8172.3600000000015"/>
  </r>
  <r>
    <s v="PO-00215"/>
    <x v="3"/>
    <x v="23"/>
    <x v="13"/>
    <x v="0"/>
    <x v="1"/>
    <n v="1159"/>
    <n v="59.24"/>
    <n v="58.08"/>
    <m/>
    <x v="0"/>
    <s v=""/>
    <n v="1.1600000000000037"/>
    <x v="214"/>
    <n v="1344.4400000000044"/>
  </r>
  <r>
    <s v="PO-00216"/>
    <x v="0"/>
    <x v="144"/>
    <x v="167"/>
    <x v="0"/>
    <x v="1"/>
    <n v="1869"/>
    <n v="69.58"/>
    <n v="67.5"/>
    <n v="31"/>
    <x v="0"/>
    <n v="13"/>
    <n v="2.0799999999999983"/>
    <x v="215"/>
    <n v="3887.5199999999968"/>
  </r>
  <r>
    <s v="PO-00217"/>
    <x v="1"/>
    <x v="176"/>
    <x v="168"/>
    <x v="2"/>
    <x v="1"/>
    <n v="627"/>
    <n v="46.23"/>
    <n v="42.87"/>
    <m/>
    <x v="0"/>
    <n v="19"/>
    <n v="3.3599999999999994"/>
    <x v="216"/>
    <n v="2106.7199999999998"/>
  </r>
  <r>
    <s v="PO-00218"/>
    <x v="3"/>
    <x v="177"/>
    <x v="169"/>
    <x v="3"/>
    <x v="3"/>
    <n v="731"/>
    <n v="56.02"/>
    <n v="54.78"/>
    <n v="70"/>
    <x v="1"/>
    <n v="2"/>
    <n v="1.240000000000002"/>
    <x v="217"/>
    <n v="906.44000000000142"/>
  </r>
  <r>
    <s v="PO-00219"/>
    <x v="4"/>
    <x v="178"/>
    <x v="13"/>
    <x v="0"/>
    <x v="0"/>
    <n v="606"/>
    <n v="83.07"/>
    <n v="79.22"/>
    <n v="16"/>
    <x v="0"/>
    <s v=""/>
    <n v="3.8499999999999943"/>
    <x v="218"/>
    <n v="2333.0999999999967"/>
  </r>
  <r>
    <s v="PO-00220"/>
    <x v="3"/>
    <x v="179"/>
    <x v="170"/>
    <x v="0"/>
    <x v="1"/>
    <n v="1647"/>
    <n v="13.57"/>
    <n v="12.33"/>
    <n v="157"/>
    <x v="0"/>
    <n v="10"/>
    <n v="1.2400000000000002"/>
    <x v="219"/>
    <n v="2042.2800000000004"/>
  </r>
  <r>
    <s v="PO-00221"/>
    <x v="1"/>
    <x v="180"/>
    <x v="171"/>
    <x v="1"/>
    <x v="1"/>
    <n v="1062"/>
    <n v="34.03"/>
    <n v="30.46"/>
    <m/>
    <x v="0"/>
    <n v="8"/>
    <n v="3.5700000000000003"/>
    <x v="220"/>
    <n v="3791.34"/>
  </r>
  <r>
    <s v="PO-00222"/>
    <x v="3"/>
    <x v="181"/>
    <x v="16"/>
    <x v="0"/>
    <x v="1"/>
    <n v="695"/>
    <n v="76.8"/>
    <n v="69.760000000000005"/>
    <m/>
    <x v="1"/>
    <n v="12"/>
    <n v="7.039999999999992"/>
    <x v="221"/>
    <n v="4892.7999999999947"/>
  </r>
  <r>
    <s v="PO-00223"/>
    <x v="4"/>
    <x v="124"/>
    <x v="172"/>
    <x v="1"/>
    <x v="1"/>
    <n v="845"/>
    <n v="91.47"/>
    <n v="86.97"/>
    <m/>
    <x v="0"/>
    <n v="7"/>
    <n v="4.5"/>
    <x v="222"/>
    <n v="3802.5"/>
  </r>
  <r>
    <s v="PO-00224"/>
    <x v="2"/>
    <x v="182"/>
    <x v="173"/>
    <x v="1"/>
    <x v="1"/>
    <n v="1101"/>
    <n v="59.13"/>
    <n v="52.51"/>
    <n v="54"/>
    <x v="0"/>
    <n v="5"/>
    <n v="6.6200000000000045"/>
    <x v="223"/>
    <n v="7288.6200000000053"/>
  </r>
  <r>
    <s v="PO-00225"/>
    <x v="2"/>
    <x v="183"/>
    <x v="174"/>
    <x v="3"/>
    <x v="1"/>
    <n v="1693"/>
    <n v="57.89"/>
    <n v="49.84"/>
    <n v="88"/>
    <x v="0"/>
    <n v="2"/>
    <n v="8.0499999999999972"/>
    <x v="224"/>
    <n v="13628.649999999996"/>
  </r>
  <r>
    <s v="PO-00226"/>
    <x v="1"/>
    <x v="184"/>
    <x v="175"/>
    <x v="0"/>
    <x v="0"/>
    <n v="1629"/>
    <n v="21.51"/>
    <n v="19.41"/>
    <n v="250"/>
    <x v="1"/>
    <n v="15"/>
    <n v="2.1000000000000014"/>
    <x v="225"/>
    <n v="3420.9000000000024"/>
  </r>
  <r>
    <s v="PO-00227"/>
    <x v="1"/>
    <x v="185"/>
    <x v="176"/>
    <x v="3"/>
    <x v="1"/>
    <n v="1413"/>
    <n v="54.79"/>
    <n v="50.42"/>
    <m/>
    <x v="0"/>
    <n v="12"/>
    <n v="4.3699999999999974"/>
    <x v="226"/>
    <n v="6174.8099999999968"/>
  </r>
  <r>
    <s v="PO-00228"/>
    <x v="4"/>
    <x v="186"/>
    <x v="177"/>
    <x v="2"/>
    <x v="1"/>
    <n v="1871"/>
    <n v="59.96"/>
    <n v="58.54"/>
    <n v="47"/>
    <x v="0"/>
    <n v="3"/>
    <n v="1.4200000000000017"/>
    <x v="227"/>
    <n v="2656.8200000000033"/>
  </r>
  <r>
    <s v="PO-00229"/>
    <x v="2"/>
    <x v="184"/>
    <x v="13"/>
    <x v="3"/>
    <x v="1"/>
    <n v="1404"/>
    <n v="34.85"/>
    <n v="30.5"/>
    <n v="78"/>
    <x v="0"/>
    <s v=""/>
    <n v="4.3500000000000014"/>
    <x v="228"/>
    <n v="6107.4000000000024"/>
  </r>
  <r>
    <s v="PO-00230"/>
    <x v="2"/>
    <x v="26"/>
    <x v="178"/>
    <x v="4"/>
    <x v="1"/>
    <n v="1713"/>
    <n v="35.43"/>
    <n v="34.11"/>
    <n v="74"/>
    <x v="0"/>
    <n v="14"/>
    <n v="1.3200000000000003"/>
    <x v="229"/>
    <n v="2261.1600000000003"/>
  </r>
  <r>
    <s v="PO-00231"/>
    <x v="2"/>
    <x v="187"/>
    <x v="179"/>
    <x v="4"/>
    <x v="1"/>
    <n v="1579"/>
    <n v="43.96"/>
    <n v="43.41"/>
    <n v="74"/>
    <x v="0"/>
    <n v="5"/>
    <n v="0.55000000000000426"/>
    <x v="230"/>
    <n v="868.45000000000675"/>
  </r>
  <r>
    <s v="PO-00232"/>
    <x v="2"/>
    <x v="188"/>
    <x v="180"/>
    <x v="4"/>
    <x v="1"/>
    <n v="1421"/>
    <n v="11.92"/>
    <n v="11.72"/>
    <n v="76"/>
    <x v="0"/>
    <n v="12"/>
    <n v="0.19999999999999929"/>
    <x v="231"/>
    <n v="284.19999999999897"/>
  </r>
  <r>
    <s v="PO-00233"/>
    <x v="4"/>
    <x v="189"/>
    <x v="181"/>
    <x v="1"/>
    <x v="1"/>
    <n v="1546"/>
    <n v="43.47"/>
    <n v="37.369999999999997"/>
    <n v="53"/>
    <x v="0"/>
    <n v="9"/>
    <n v="6.1000000000000014"/>
    <x v="232"/>
    <n v="9430.6000000000022"/>
  </r>
  <r>
    <s v="PO-00234"/>
    <x v="1"/>
    <x v="190"/>
    <x v="182"/>
    <x v="4"/>
    <x v="1"/>
    <n v="1304"/>
    <n v="32.08"/>
    <n v="29.36"/>
    <m/>
    <x v="0"/>
    <n v="9"/>
    <n v="2.7199999999999989"/>
    <x v="233"/>
    <n v="3546.8799999999983"/>
  </r>
  <r>
    <s v="PO-00235"/>
    <x v="1"/>
    <x v="191"/>
    <x v="13"/>
    <x v="3"/>
    <x v="1"/>
    <n v="239"/>
    <n v="39.869999999999997"/>
    <n v="35.47"/>
    <n v="32"/>
    <x v="0"/>
    <s v=""/>
    <n v="4.3999999999999986"/>
    <x v="234"/>
    <n v="1051.5999999999997"/>
  </r>
  <r>
    <s v="PO-00236"/>
    <x v="0"/>
    <x v="91"/>
    <x v="13"/>
    <x v="0"/>
    <x v="1"/>
    <n v="1298"/>
    <n v="21.51"/>
    <n v="20.83"/>
    <m/>
    <x v="0"/>
    <s v=""/>
    <n v="0.68000000000000327"/>
    <x v="235"/>
    <n v="882.64000000000419"/>
  </r>
  <r>
    <s v="PO-00237"/>
    <x v="1"/>
    <x v="192"/>
    <x v="13"/>
    <x v="1"/>
    <x v="1"/>
    <n v="1458"/>
    <n v="91.05"/>
    <n v="81.56"/>
    <n v="220"/>
    <x v="0"/>
    <s v=""/>
    <n v="9.4899999999999949"/>
    <x v="236"/>
    <n v="13836.419999999993"/>
  </r>
  <r>
    <s v="PO-00238"/>
    <x v="2"/>
    <x v="13"/>
    <x v="183"/>
    <x v="1"/>
    <x v="1"/>
    <n v="1450"/>
    <n v="63.74"/>
    <n v="59.11"/>
    <n v="71"/>
    <x v="0"/>
    <n v="11"/>
    <n v="4.6300000000000026"/>
    <x v="237"/>
    <n v="6713.5000000000036"/>
  </r>
  <r>
    <s v="PO-00239"/>
    <x v="3"/>
    <x v="193"/>
    <x v="184"/>
    <x v="4"/>
    <x v="1"/>
    <n v="1356"/>
    <n v="75.03"/>
    <n v="63.86"/>
    <n v="131"/>
    <x v="0"/>
    <n v="15"/>
    <n v="11.170000000000002"/>
    <x v="238"/>
    <n v="15146.520000000002"/>
  </r>
  <r>
    <s v="PO-00240"/>
    <x v="2"/>
    <x v="188"/>
    <x v="13"/>
    <x v="2"/>
    <x v="1"/>
    <n v="682"/>
    <n v="81.84"/>
    <n v="71.86"/>
    <n v="40"/>
    <x v="0"/>
    <s v=""/>
    <n v="9.980000000000004"/>
    <x v="239"/>
    <n v="6806.3600000000024"/>
  </r>
  <r>
    <s v="PO-00241"/>
    <x v="2"/>
    <x v="194"/>
    <x v="135"/>
    <x v="2"/>
    <x v="1"/>
    <n v="677"/>
    <n v="59.52"/>
    <n v="55.29"/>
    <n v="39"/>
    <x v="0"/>
    <n v="8"/>
    <n v="4.230000000000004"/>
    <x v="240"/>
    <n v="2863.7100000000028"/>
  </r>
  <r>
    <s v="PO-00242"/>
    <x v="1"/>
    <x v="195"/>
    <x v="185"/>
    <x v="0"/>
    <x v="1"/>
    <n v="1022"/>
    <n v="18.54"/>
    <n v="16.55"/>
    <n v="150"/>
    <x v="0"/>
    <n v="13"/>
    <n v="1.9899999999999984"/>
    <x v="241"/>
    <n v="2033.7799999999984"/>
  </r>
  <r>
    <s v="PO-00243"/>
    <x v="0"/>
    <x v="196"/>
    <x v="13"/>
    <x v="3"/>
    <x v="1"/>
    <n v="1818"/>
    <n v="60.96"/>
    <n v="57.13"/>
    <n v="41"/>
    <x v="0"/>
    <s v=""/>
    <n v="3.8299999999999983"/>
    <x v="242"/>
    <n v="6962.9399999999969"/>
  </r>
  <r>
    <s v="PO-00244"/>
    <x v="4"/>
    <x v="197"/>
    <x v="166"/>
    <x v="4"/>
    <x v="1"/>
    <n v="1332"/>
    <n v="69.73"/>
    <n v="63.8"/>
    <n v="41"/>
    <x v="0"/>
    <n v="12"/>
    <n v="5.9300000000000068"/>
    <x v="243"/>
    <n v="7898.7600000000093"/>
  </r>
  <r>
    <s v="PO-00245"/>
    <x v="3"/>
    <x v="159"/>
    <x v="186"/>
    <x v="3"/>
    <x v="1"/>
    <n v="1432"/>
    <n v="83.26"/>
    <n v="77.67"/>
    <n v="174"/>
    <x v="0"/>
    <n v="13"/>
    <n v="5.5900000000000034"/>
    <x v="244"/>
    <n v="8004.8800000000047"/>
  </r>
  <r>
    <s v="PO-00246"/>
    <x v="3"/>
    <x v="198"/>
    <x v="187"/>
    <x v="2"/>
    <x v="3"/>
    <n v="759"/>
    <n v="50.56"/>
    <n v="46.47"/>
    <n v="63"/>
    <x v="1"/>
    <n v="18"/>
    <n v="4.0900000000000034"/>
    <x v="245"/>
    <n v="3104.3100000000027"/>
  </r>
  <r>
    <s v="PO-00247"/>
    <x v="0"/>
    <x v="146"/>
    <x v="98"/>
    <x v="2"/>
    <x v="1"/>
    <n v="1529"/>
    <n v="23.42"/>
    <n v="22.44"/>
    <n v="30"/>
    <x v="0"/>
    <n v="12"/>
    <n v="0.98000000000000043"/>
    <x v="246"/>
    <n v="1498.4200000000008"/>
  </r>
  <r>
    <s v="PO-00248"/>
    <x v="2"/>
    <x v="199"/>
    <x v="188"/>
    <x v="4"/>
    <x v="1"/>
    <n v="1484"/>
    <n v="36.25"/>
    <n v="31.8"/>
    <n v="61"/>
    <x v="0"/>
    <n v="9"/>
    <n v="4.4499999999999993"/>
    <x v="247"/>
    <n v="6603.7999999999993"/>
  </r>
  <r>
    <s v="PO-00249"/>
    <x v="4"/>
    <x v="200"/>
    <x v="189"/>
    <x v="2"/>
    <x v="1"/>
    <n v="698"/>
    <n v="46.73"/>
    <n v="45.61"/>
    <n v="15"/>
    <x v="0"/>
    <n v="12"/>
    <n v="1.1199999999999974"/>
    <x v="248"/>
    <n v="781.75999999999817"/>
  </r>
  <r>
    <s v="PO-00250"/>
    <x v="4"/>
    <x v="201"/>
    <x v="190"/>
    <x v="2"/>
    <x v="3"/>
    <n v="367"/>
    <n v="74.61"/>
    <n v="71.36"/>
    <n v="13"/>
    <x v="0"/>
    <n v="8"/>
    <n v="3.25"/>
    <x v="249"/>
    <n v="1192.75"/>
  </r>
  <r>
    <s v="PO-00251"/>
    <x v="4"/>
    <x v="202"/>
    <x v="191"/>
    <x v="0"/>
    <x v="2"/>
    <n v="1750"/>
    <n v="65.97"/>
    <n v="58.34"/>
    <n v="50"/>
    <x v="0"/>
    <n v="20"/>
    <n v="7.6299999999999955"/>
    <x v="250"/>
    <n v="13352.499999999993"/>
  </r>
  <r>
    <s v="PO-00252"/>
    <x v="1"/>
    <x v="203"/>
    <x v="192"/>
    <x v="0"/>
    <x v="2"/>
    <n v="1298"/>
    <n v="43.73"/>
    <n v="37.21"/>
    <m/>
    <x v="1"/>
    <n v="18"/>
    <n v="6.519999999999996"/>
    <x v="251"/>
    <n v="8462.9599999999955"/>
  </r>
  <r>
    <s v="PO-00253"/>
    <x v="2"/>
    <x v="202"/>
    <x v="191"/>
    <x v="2"/>
    <x v="1"/>
    <n v="1892"/>
    <n v="106.2"/>
    <n v="96.37"/>
    <n v="93"/>
    <x v="0"/>
    <n v="20"/>
    <n v="9.8299999999999983"/>
    <x v="252"/>
    <n v="18598.359999999997"/>
  </r>
  <r>
    <s v="PO-00254"/>
    <x v="3"/>
    <x v="204"/>
    <x v="193"/>
    <x v="4"/>
    <x v="1"/>
    <n v="1307"/>
    <n v="68.709999999999994"/>
    <n v="60.64"/>
    <n v="141"/>
    <x v="0"/>
    <n v="3"/>
    <n v="8.0699999999999932"/>
    <x v="253"/>
    <n v="10547.489999999991"/>
  </r>
  <r>
    <s v="PO-00255"/>
    <x v="3"/>
    <x v="205"/>
    <x v="194"/>
    <x v="4"/>
    <x v="1"/>
    <n v="733"/>
    <n v="32.29"/>
    <n v="29.01"/>
    <n v="78"/>
    <x v="0"/>
    <n v="15"/>
    <n v="3.2799999999999976"/>
    <x v="254"/>
    <n v="2404.2399999999984"/>
  </r>
  <r>
    <s v="PO-00256"/>
    <x v="2"/>
    <x v="206"/>
    <x v="13"/>
    <x v="2"/>
    <x v="1"/>
    <n v="713"/>
    <n v="19.45"/>
    <n v="18.82"/>
    <n v="31"/>
    <x v="0"/>
    <s v=""/>
    <n v="0.62999999999999901"/>
    <x v="255"/>
    <n v="449.18999999999932"/>
  </r>
  <r>
    <s v="PO-00257"/>
    <x v="3"/>
    <x v="39"/>
    <x v="131"/>
    <x v="2"/>
    <x v="1"/>
    <n v="1900"/>
    <n v="24.11"/>
    <n v="23.45"/>
    <n v="188"/>
    <x v="0"/>
    <n v="14"/>
    <n v="0.66000000000000014"/>
    <x v="256"/>
    <n v="1254.0000000000002"/>
  </r>
  <r>
    <s v="PO-00258"/>
    <x v="1"/>
    <x v="207"/>
    <x v="195"/>
    <x v="1"/>
    <x v="0"/>
    <n v="1447"/>
    <n v="35.67"/>
    <n v="35.07"/>
    <n v="224"/>
    <x v="1"/>
    <n v="2"/>
    <n v="0.60000000000000142"/>
    <x v="257"/>
    <n v="868.20000000000209"/>
  </r>
  <r>
    <s v="PO-00259"/>
    <x v="4"/>
    <x v="208"/>
    <x v="13"/>
    <x v="0"/>
    <x v="1"/>
    <n v="1745"/>
    <n v="26.17"/>
    <n v="22.25"/>
    <n v="55"/>
    <x v="0"/>
    <s v=""/>
    <n v="3.9200000000000017"/>
    <x v="258"/>
    <n v="6840.4000000000033"/>
  </r>
  <r>
    <s v="PO-00260"/>
    <x v="3"/>
    <x v="209"/>
    <x v="196"/>
    <x v="0"/>
    <x v="1"/>
    <n v="1681"/>
    <n v="28.26"/>
    <n v="26.62"/>
    <n v="143"/>
    <x v="0"/>
    <n v="16"/>
    <n v="1.6400000000000006"/>
    <x v="259"/>
    <n v="2756.8400000000011"/>
  </r>
  <r>
    <s v="PO-00261"/>
    <x v="1"/>
    <x v="170"/>
    <x v="197"/>
    <x v="4"/>
    <x v="1"/>
    <n v="1545"/>
    <n v="38.15"/>
    <n v="36.96"/>
    <n v="214"/>
    <x v="0"/>
    <n v="8"/>
    <n v="1.1899999999999977"/>
    <x v="260"/>
    <n v="1838.5499999999965"/>
  </r>
  <r>
    <s v="PO-00262"/>
    <x v="4"/>
    <x v="210"/>
    <x v="198"/>
    <x v="3"/>
    <x v="1"/>
    <n v="1306"/>
    <n v="27.27"/>
    <n v="25.96"/>
    <n v="39"/>
    <x v="0"/>
    <n v="5"/>
    <n v="1.3099999999999987"/>
    <x v="261"/>
    <n v="1710.8599999999983"/>
  </r>
  <r>
    <s v="PO-00263"/>
    <x v="2"/>
    <x v="211"/>
    <x v="199"/>
    <x v="3"/>
    <x v="1"/>
    <n v="1765"/>
    <n v="97.51"/>
    <n v="84.3"/>
    <n v="65"/>
    <x v="0"/>
    <n v="12"/>
    <n v="13.210000000000008"/>
    <x v="262"/>
    <n v="23315.650000000012"/>
  </r>
  <r>
    <s v="PO-00264"/>
    <x v="2"/>
    <x v="212"/>
    <x v="53"/>
    <x v="2"/>
    <x v="0"/>
    <n v="1186"/>
    <n v="17.309999999999999"/>
    <n v="16"/>
    <n v="64"/>
    <x v="0"/>
    <n v="18"/>
    <n v="1.3099999999999987"/>
    <x v="263"/>
    <n v="1553.6599999999985"/>
  </r>
  <r>
    <s v="PO-00265"/>
    <x v="1"/>
    <x v="213"/>
    <x v="156"/>
    <x v="2"/>
    <x v="1"/>
    <n v="1903"/>
    <n v="63.5"/>
    <n v="56.09"/>
    <n v="254"/>
    <x v="0"/>
    <n v="5"/>
    <n v="7.4099999999999966"/>
    <x v="264"/>
    <n v="14101.229999999994"/>
  </r>
  <r>
    <s v="PO-00266"/>
    <x v="1"/>
    <x v="214"/>
    <x v="200"/>
    <x v="1"/>
    <x v="1"/>
    <n v="1570"/>
    <n v="52.1"/>
    <n v="47.87"/>
    <m/>
    <x v="1"/>
    <n v="4"/>
    <n v="4.230000000000004"/>
    <x v="265"/>
    <n v="6641.1000000000058"/>
  </r>
  <r>
    <s v="PO-00267"/>
    <x v="1"/>
    <x v="215"/>
    <x v="201"/>
    <x v="1"/>
    <x v="1"/>
    <n v="491"/>
    <n v="108.75"/>
    <n v="93.35"/>
    <m/>
    <x v="1"/>
    <n v="20"/>
    <n v="15.400000000000006"/>
    <x v="266"/>
    <n v="7561.4000000000024"/>
  </r>
  <r>
    <s v="PO-00268"/>
    <x v="3"/>
    <x v="216"/>
    <x v="202"/>
    <x v="4"/>
    <x v="2"/>
    <n v="613"/>
    <n v="20.38"/>
    <n v="20.170000000000002"/>
    <n v="58"/>
    <x v="0"/>
    <n v="9"/>
    <n v="0.2099999999999973"/>
    <x v="267"/>
    <n v="128.72999999999834"/>
  </r>
  <r>
    <s v="PO-00269"/>
    <x v="2"/>
    <x v="217"/>
    <x v="203"/>
    <x v="3"/>
    <x v="2"/>
    <n v="1341"/>
    <n v="46.27"/>
    <n v="43.94"/>
    <n v="63"/>
    <x v="0"/>
    <n v="12"/>
    <n v="2.3300000000000054"/>
    <x v="268"/>
    <n v="3124.530000000007"/>
  </r>
  <r>
    <s v="PO-00270"/>
    <x v="3"/>
    <x v="218"/>
    <x v="165"/>
    <x v="1"/>
    <x v="2"/>
    <n v="1583"/>
    <n v="103.57"/>
    <n v="89.38"/>
    <n v="164"/>
    <x v="0"/>
    <n v="15"/>
    <n v="14.189999999999998"/>
    <x v="269"/>
    <n v="22462.769999999997"/>
  </r>
  <r>
    <s v="PO-00271"/>
    <x v="3"/>
    <x v="219"/>
    <x v="13"/>
    <x v="3"/>
    <x v="0"/>
    <n v="1880"/>
    <n v="92.73"/>
    <n v="90.78"/>
    <n v="173"/>
    <x v="0"/>
    <s v=""/>
    <n v="1.9500000000000028"/>
    <x v="270"/>
    <n v="3666.0000000000055"/>
  </r>
  <r>
    <s v="PO-00272"/>
    <x v="4"/>
    <x v="220"/>
    <x v="204"/>
    <x v="1"/>
    <x v="1"/>
    <n v="1459"/>
    <n v="84.79"/>
    <n v="82.72"/>
    <n v="47"/>
    <x v="0"/>
    <n v="4"/>
    <n v="2.0700000000000074"/>
    <x v="271"/>
    <n v="3020.1300000000106"/>
  </r>
  <r>
    <s v="PO-00273"/>
    <x v="1"/>
    <x v="221"/>
    <x v="13"/>
    <x v="0"/>
    <x v="1"/>
    <n v="1460"/>
    <n v="34.54"/>
    <n v="31.87"/>
    <n v="208"/>
    <x v="1"/>
    <s v=""/>
    <n v="2.6699999999999982"/>
    <x v="272"/>
    <n v="3898.1999999999971"/>
  </r>
  <r>
    <s v="PO-00274"/>
    <x v="3"/>
    <x v="56"/>
    <x v="136"/>
    <x v="2"/>
    <x v="2"/>
    <n v="1186"/>
    <n v="26.14"/>
    <n v="24.78"/>
    <n v="112"/>
    <x v="0"/>
    <n v="12"/>
    <n v="1.3599999999999994"/>
    <x v="273"/>
    <n v="1612.9599999999994"/>
  </r>
  <r>
    <s v="PO-00275"/>
    <x v="4"/>
    <x v="205"/>
    <x v="205"/>
    <x v="1"/>
    <x v="3"/>
    <n v="1686"/>
    <n v="72.28"/>
    <n v="65.209999999999994"/>
    <n v="53"/>
    <x v="0"/>
    <n v="9"/>
    <n v="7.0700000000000074"/>
    <x v="274"/>
    <n v="11920.020000000013"/>
  </r>
  <r>
    <s v="PO-00276"/>
    <x v="0"/>
    <x v="46"/>
    <x v="206"/>
    <x v="1"/>
    <x v="1"/>
    <n v="1698"/>
    <n v="102.07"/>
    <n v="100.69"/>
    <n v="28"/>
    <x v="0"/>
    <n v="4"/>
    <n v="1.3799999999999955"/>
    <x v="275"/>
    <n v="2343.2399999999925"/>
  </r>
  <r>
    <s v="PO-00277"/>
    <x v="4"/>
    <x v="27"/>
    <x v="13"/>
    <x v="4"/>
    <x v="1"/>
    <n v="1001"/>
    <n v="64.62"/>
    <n v="55.7"/>
    <n v="32"/>
    <x v="0"/>
    <s v=""/>
    <n v="8.9200000000000017"/>
    <x v="276"/>
    <n v="8928.9200000000019"/>
  </r>
  <r>
    <s v="PO-00278"/>
    <x v="0"/>
    <x v="222"/>
    <x v="95"/>
    <x v="0"/>
    <x v="1"/>
    <n v="1154"/>
    <n v="62.67"/>
    <n v="54.11"/>
    <n v="25"/>
    <x v="0"/>
    <n v="3"/>
    <n v="8.5600000000000023"/>
    <x v="277"/>
    <n v="9878.2400000000034"/>
  </r>
  <r>
    <s v="PO-00279"/>
    <x v="0"/>
    <x v="12"/>
    <x v="207"/>
    <x v="2"/>
    <x v="0"/>
    <n v="748"/>
    <n v="37.659999999999997"/>
    <n v="32.71"/>
    <m/>
    <x v="1"/>
    <n v="20"/>
    <n v="4.9499999999999957"/>
    <x v="278"/>
    <n v="3702.5999999999967"/>
  </r>
  <r>
    <s v="PO-00280"/>
    <x v="0"/>
    <x v="223"/>
    <x v="13"/>
    <x v="0"/>
    <x v="1"/>
    <n v="162"/>
    <n v="81.63"/>
    <n v="78.760000000000005"/>
    <n v="2"/>
    <x v="0"/>
    <s v=""/>
    <n v="2.8699999999999903"/>
    <x v="279"/>
    <n v="464.93999999999846"/>
  </r>
  <r>
    <s v="PO-00281"/>
    <x v="0"/>
    <x v="196"/>
    <x v="208"/>
    <x v="2"/>
    <x v="1"/>
    <n v="51"/>
    <n v="28.04"/>
    <n v="24.13"/>
    <n v="0"/>
    <x v="0"/>
    <n v="11"/>
    <n v="3.91"/>
    <x v="280"/>
    <n v="199.41"/>
  </r>
  <r>
    <s v="PO-00282"/>
    <x v="1"/>
    <x v="81"/>
    <x v="209"/>
    <x v="0"/>
    <x v="1"/>
    <n v="691"/>
    <n v="42.07"/>
    <n v="39.1"/>
    <n v="106"/>
    <x v="0"/>
    <n v="5"/>
    <n v="2.9699999999999989"/>
    <x v="281"/>
    <n v="2052.2699999999991"/>
  </r>
  <r>
    <s v="PO-00283"/>
    <x v="3"/>
    <x v="224"/>
    <x v="4"/>
    <x v="0"/>
    <x v="1"/>
    <n v="269"/>
    <n v="50.22"/>
    <n v="45.75"/>
    <n v="32"/>
    <x v="1"/>
    <n v="7"/>
    <n v="4.4699999999999989"/>
    <x v="282"/>
    <n v="1202.4299999999996"/>
  </r>
  <r>
    <s v="PO-00284"/>
    <x v="3"/>
    <x v="225"/>
    <x v="150"/>
    <x v="4"/>
    <x v="3"/>
    <n v="1639"/>
    <n v="56.24"/>
    <n v="55.4"/>
    <n v="147"/>
    <x v="0"/>
    <n v="18"/>
    <n v="0.84000000000000341"/>
    <x v="283"/>
    <n v="1376.7600000000057"/>
  </r>
  <r>
    <s v="PO-00285"/>
    <x v="0"/>
    <x v="226"/>
    <x v="210"/>
    <x v="3"/>
    <x v="1"/>
    <n v="904"/>
    <n v="34.04"/>
    <n v="30.06"/>
    <n v="26"/>
    <x v="0"/>
    <n v="7"/>
    <n v="3.9800000000000004"/>
    <x v="284"/>
    <n v="3597.9200000000005"/>
  </r>
  <r>
    <s v="PO-00286"/>
    <x v="3"/>
    <x v="227"/>
    <x v="211"/>
    <x v="0"/>
    <x v="1"/>
    <n v="1809"/>
    <n v="22.17"/>
    <n v="19.649999999999999"/>
    <m/>
    <x v="0"/>
    <n v="8"/>
    <n v="2.5200000000000031"/>
    <x v="285"/>
    <n v="4558.6800000000057"/>
  </r>
  <r>
    <s v="PO-00287"/>
    <x v="0"/>
    <x v="216"/>
    <x v="212"/>
    <x v="2"/>
    <x v="1"/>
    <n v="1298"/>
    <n v="65.930000000000007"/>
    <n v="58.95"/>
    <m/>
    <x v="0"/>
    <n v="5"/>
    <n v="6.980000000000004"/>
    <x v="286"/>
    <n v="9060.0400000000045"/>
  </r>
  <r>
    <s v="PO-00288"/>
    <x v="3"/>
    <x v="228"/>
    <x v="213"/>
    <x v="2"/>
    <x v="1"/>
    <n v="434"/>
    <n v="36.159999999999997"/>
    <n v="34.79"/>
    <n v="41"/>
    <x v="0"/>
    <n v="20"/>
    <n v="1.3699999999999974"/>
    <x v="287"/>
    <n v="594.5799999999989"/>
  </r>
  <r>
    <s v="PO-00289"/>
    <x v="4"/>
    <x v="229"/>
    <x v="214"/>
    <x v="4"/>
    <x v="1"/>
    <n v="1476"/>
    <n v="68.849999999999994"/>
    <n v="65.28"/>
    <n v="43"/>
    <x v="0"/>
    <n v="5"/>
    <n v="3.5699999999999932"/>
    <x v="288"/>
    <n v="5269.3199999999897"/>
  </r>
  <r>
    <s v="PO-00290"/>
    <x v="1"/>
    <x v="230"/>
    <x v="13"/>
    <x v="3"/>
    <x v="2"/>
    <n v="1711"/>
    <n v="26.04"/>
    <n v="24.81"/>
    <n v="290"/>
    <x v="0"/>
    <s v=""/>
    <n v="1.2300000000000004"/>
    <x v="289"/>
    <n v="2104.5300000000007"/>
  </r>
  <r>
    <s v="PO-00291"/>
    <x v="2"/>
    <x v="231"/>
    <x v="215"/>
    <x v="2"/>
    <x v="1"/>
    <n v="1203"/>
    <n v="53.3"/>
    <n v="47.68"/>
    <n v="49"/>
    <x v="0"/>
    <n v="6"/>
    <n v="5.6199999999999974"/>
    <x v="290"/>
    <n v="6760.8599999999969"/>
  </r>
  <r>
    <s v="PO-00292"/>
    <x v="0"/>
    <x v="15"/>
    <x v="216"/>
    <x v="4"/>
    <x v="1"/>
    <n v="1126"/>
    <n v="58.8"/>
    <n v="52.22"/>
    <m/>
    <x v="0"/>
    <n v="1"/>
    <n v="6.5799999999999983"/>
    <x v="291"/>
    <n v="7409.0799999999981"/>
  </r>
  <r>
    <s v="PO-00293"/>
    <x v="4"/>
    <x v="232"/>
    <x v="217"/>
    <x v="2"/>
    <x v="1"/>
    <n v="1757"/>
    <n v="15.18"/>
    <n v="13.06"/>
    <n v="63"/>
    <x v="0"/>
    <n v="12"/>
    <n v="2.1199999999999992"/>
    <x v="292"/>
    <n v="3724.8399999999988"/>
  </r>
  <r>
    <s v="PO-00294"/>
    <x v="4"/>
    <x v="233"/>
    <x v="139"/>
    <x v="1"/>
    <x v="1"/>
    <n v="779"/>
    <n v="41.3"/>
    <n v="36.28"/>
    <n v="20"/>
    <x v="0"/>
    <n v="8"/>
    <n v="5.019999999999996"/>
    <x v="293"/>
    <n v="3910.5799999999967"/>
  </r>
  <r>
    <s v="PO-00295"/>
    <x v="1"/>
    <x v="204"/>
    <x v="218"/>
    <x v="0"/>
    <x v="1"/>
    <n v="1745"/>
    <n v="23.53"/>
    <n v="22.57"/>
    <n v="282"/>
    <x v="1"/>
    <n v="1"/>
    <n v="0.96000000000000085"/>
    <x v="294"/>
    <n v="1675.2000000000014"/>
  </r>
  <r>
    <s v="PO-00296"/>
    <x v="1"/>
    <x v="159"/>
    <x v="219"/>
    <x v="3"/>
    <x v="1"/>
    <n v="1783"/>
    <n v="16.96"/>
    <n v="15.8"/>
    <n v="295"/>
    <x v="0"/>
    <n v="2"/>
    <n v="1.1600000000000001"/>
    <x v="295"/>
    <n v="2068.2800000000002"/>
  </r>
  <r>
    <s v="PO-00297"/>
    <x v="0"/>
    <x v="234"/>
    <x v="220"/>
    <x v="0"/>
    <x v="2"/>
    <n v="1489"/>
    <n v="107.02"/>
    <n v="93.3"/>
    <m/>
    <x v="0"/>
    <n v="14"/>
    <n v="13.719999999999999"/>
    <x v="296"/>
    <n v="20429.079999999998"/>
  </r>
  <r>
    <s v="PO-00298"/>
    <x v="0"/>
    <x v="235"/>
    <x v="221"/>
    <x v="0"/>
    <x v="1"/>
    <n v="296"/>
    <n v="40.380000000000003"/>
    <n v="35.25"/>
    <m/>
    <x v="0"/>
    <n v="3"/>
    <n v="5.1300000000000026"/>
    <x v="297"/>
    <n v="1518.4800000000007"/>
  </r>
  <r>
    <s v="PO-00299"/>
    <x v="4"/>
    <x v="93"/>
    <x v="222"/>
    <x v="1"/>
    <x v="1"/>
    <n v="885"/>
    <n v="88.28"/>
    <n v="80.8"/>
    <n v="31"/>
    <x v="0"/>
    <n v="12"/>
    <n v="7.480000000000004"/>
    <x v="298"/>
    <n v="6619.8000000000038"/>
  </r>
  <r>
    <s v="PO-00300"/>
    <x v="4"/>
    <x v="191"/>
    <x v="223"/>
    <x v="3"/>
    <x v="3"/>
    <n v="1512"/>
    <n v="33.25"/>
    <n v="30.15"/>
    <n v="53"/>
    <x v="0"/>
    <n v="4"/>
    <n v="3.1000000000000014"/>
    <x v="299"/>
    <n v="4687.2000000000025"/>
  </r>
  <r>
    <s v="PO-00301"/>
    <x v="1"/>
    <x v="236"/>
    <x v="108"/>
    <x v="0"/>
    <x v="1"/>
    <n v="252"/>
    <n v="73.12"/>
    <n v="67.64"/>
    <m/>
    <x v="1"/>
    <n v="8"/>
    <n v="5.480000000000004"/>
    <x v="300"/>
    <n v="1380.9600000000009"/>
  </r>
  <r>
    <s v="PO-00302"/>
    <x v="0"/>
    <x v="82"/>
    <x v="13"/>
    <x v="4"/>
    <x v="0"/>
    <n v="1257"/>
    <n v="83.13"/>
    <n v="81.89"/>
    <n v="30"/>
    <x v="0"/>
    <s v=""/>
    <n v="1.2399999999999949"/>
    <x v="301"/>
    <n v="1558.6799999999935"/>
  </r>
  <r>
    <s v="PO-00303"/>
    <x v="0"/>
    <x v="237"/>
    <x v="224"/>
    <x v="2"/>
    <x v="1"/>
    <n v="172"/>
    <n v="63.61"/>
    <n v="55.92"/>
    <n v="4"/>
    <x v="0"/>
    <n v="17"/>
    <n v="7.6899999999999977"/>
    <x v="302"/>
    <n v="1322.6799999999996"/>
  </r>
  <r>
    <s v="PO-00304"/>
    <x v="4"/>
    <x v="238"/>
    <x v="225"/>
    <x v="2"/>
    <x v="3"/>
    <n v="450"/>
    <n v="55.85"/>
    <n v="49.88"/>
    <n v="9"/>
    <x v="0"/>
    <n v="1"/>
    <n v="5.9699999999999989"/>
    <x v="303"/>
    <n v="2686.4999999999995"/>
  </r>
  <r>
    <s v="PO-00305"/>
    <x v="2"/>
    <x v="106"/>
    <x v="99"/>
    <x v="4"/>
    <x v="1"/>
    <n v="816"/>
    <n v="48.95"/>
    <n v="43.42"/>
    <n v="45"/>
    <x v="0"/>
    <n v="16"/>
    <n v="5.5300000000000011"/>
    <x v="304"/>
    <n v="4512.4800000000014"/>
  </r>
  <r>
    <s v="PO-00306"/>
    <x v="4"/>
    <x v="239"/>
    <x v="226"/>
    <x v="2"/>
    <x v="1"/>
    <n v="343"/>
    <n v="44.5"/>
    <n v="38.57"/>
    <n v="7"/>
    <x v="0"/>
    <n v="14"/>
    <n v="5.93"/>
    <x v="305"/>
    <n v="2033.99"/>
  </r>
  <r>
    <s v="PO-00307"/>
    <x v="2"/>
    <x v="240"/>
    <x v="227"/>
    <x v="1"/>
    <x v="1"/>
    <n v="329"/>
    <n v="97.87"/>
    <n v="85.35"/>
    <n v="21"/>
    <x v="1"/>
    <n v="16"/>
    <n v="12.52000000000001"/>
    <x v="306"/>
    <n v="4119.0800000000036"/>
  </r>
  <r>
    <s v="PO-00308"/>
    <x v="0"/>
    <x v="170"/>
    <x v="228"/>
    <x v="4"/>
    <x v="1"/>
    <n v="1910"/>
    <n v="90.69"/>
    <n v="85.8"/>
    <m/>
    <x v="0"/>
    <n v="15"/>
    <n v="4.8900000000000006"/>
    <x v="307"/>
    <n v="9339.9000000000015"/>
  </r>
  <r>
    <s v="PO-00309"/>
    <x v="4"/>
    <x v="241"/>
    <x v="229"/>
    <x v="1"/>
    <x v="1"/>
    <n v="933"/>
    <n v="107.99"/>
    <n v="104.29"/>
    <n v="29"/>
    <x v="0"/>
    <n v="3"/>
    <n v="3.6999999999999886"/>
    <x v="308"/>
    <n v="3452.0999999999894"/>
  </r>
  <r>
    <s v="PO-00310"/>
    <x v="1"/>
    <x v="242"/>
    <x v="230"/>
    <x v="3"/>
    <x v="1"/>
    <n v="1683"/>
    <n v="23.09"/>
    <n v="21.88"/>
    <n v="253"/>
    <x v="0"/>
    <n v="5"/>
    <n v="1.2100000000000009"/>
    <x v="309"/>
    <n v="2036.4300000000014"/>
  </r>
  <r>
    <s v="PO-00311"/>
    <x v="3"/>
    <x v="60"/>
    <x v="231"/>
    <x v="2"/>
    <x v="3"/>
    <n v="247"/>
    <n v="84.11"/>
    <n v="71.97"/>
    <m/>
    <x v="0"/>
    <n v="9"/>
    <n v="12.14"/>
    <x v="310"/>
    <n v="2998.58"/>
  </r>
  <r>
    <s v="PO-00312"/>
    <x v="0"/>
    <x v="243"/>
    <x v="232"/>
    <x v="1"/>
    <x v="1"/>
    <n v="1031"/>
    <n v="102.01"/>
    <n v="98.65"/>
    <m/>
    <x v="0"/>
    <n v="19"/>
    <n v="3.3599999999999994"/>
    <x v="311"/>
    <n v="3464.1599999999994"/>
  </r>
  <r>
    <s v="PO-00313"/>
    <x v="0"/>
    <x v="244"/>
    <x v="233"/>
    <x v="2"/>
    <x v="1"/>
    <n v="1980"/>
    <n v="26.97"/>
    <n v="24.16"/>
    <n v="41"/>
    <x v="0"/>
    <n v="11"/>
    <n v="2.8099999999999987"/>
    <x v="312"/>
    <n v="5563.7999999999975"/>
  </r>
  <r>
    <s v="PO-00314"/>
    <x v="4"/>
    <x v="205"/>
    <x v="234"/>
    <x v="3"/>
    <x v="1"/>
    <n v="1584"/>
    <n v="16.46"/>
    <n v="14.2"/>
    <n v="57"/>
    <x v="0"/>
    <n v="20"/>
    <n v="2.2600000000000016"/>
    <x v="313"/>
    <n v="3579.8400000000024"/>
  </r>
  <r>
    <s v="PO-00315"/>
    <x v="3"/>
    <x v="245"/>
    <x v="235"/>
    <x v="0"/>
    <x v="1"/>
    <n v="801"/>
    <n v="80.150000000000006"/>
    <n v="70.91"/>
    <m/>
    <x v="0"/>
    <n v="15"/>
    <n v="9.2400000000000091"/>
    <x v="314"/>
    <n v="7401.2400000000071"/>
  </r>
  <r>
    <s v="PO-00316"/>
    <x v="3"/>
    <x v="246"/>
    <x v="56"/>
    <x v="2"/>
    <x v="1"/>
    <n v="193"/>
    <n v="63.86"/>
    <n v="57.46"/>
    <m/>
    <x v="0"/>
    <n v="14"/>
    <n v="6.3999999999999986"/>
    <x v="315"/>
    <n v="1235.1999999999998"/>
  </r>
  <r>
    <s v="PO-00317"/>
    <x v="3"/>
    <x v="156"/>
    <x v="43"/>
    <x v="3"/>
    <x v="1"/>
    <n v="658"/>
    <n v="86.62"/>
    <n v="79.849999999999994"/>
    <n v="72"/>
    <x v="0"/>
    <n v="4"/>
    <n v="6.7700000000000102"/>
    <x v="316"/>
    <n v="4454.6600000000071"/>
  </r>
  <r>
    <s v="PO-00318"/>
    <x v="4"/>
    <x v="247"/>
    <x v="236"/>
    <x v="4"/>
    <x v="1"/>
    <n v="1274"/>
    <n v="24.72"/>
    <n v="23.36"/>
    <n v="37"/>
    <x v="0"/>
    <n v="18"/>
    <n v="1.3599999999999994"/>
    <x v="317"/>
    <n v="1732.6399999999992"/>
  </r>
  <r>
    <s v="PO-00319"/>
    <x v="4"/>
    <x v="248"/>
    <x v="237"/>
    <x v="2"/>
    <x v="2"/>
    <n v="1197"/>
    <n v="88.92"/>
    <n v="78.819999999999993"/>
    <n v="31"/>
    <x v="0"/>
    <n v="7"/>
    <n v="10.100000000000009"/>
    <x v="318"/>
    <n v="12089.70000000001"/>
  </r>
  <r>
    <s v="PO-00320"/>
    <x v="2"/>
    <x v="217"/>
    <x v="87"/>
    <x v="4"/>
    <x v="1"/>
    <n v="236"/>
    <n v="28.43"/>
    <n v="28.11"/>
    <n v="11"/>
    <x v="0"/>
    <n v="8"/>
    <n v="0.32000000000000028"/>
    <x v="319"/>
    <n v="75.520000000000067"/>
  </r>
  <r>
    <s v="PO-00321"/>
    <x v="2"/>
    <x v="249"/>
    <x v="238"/>
    <x v="3"/>
    <x v="2"/>
    <n v="1399"/>
    <n v="25.97"/>
    <n v="22.19"/>
    <n v="62"/>
    <x v="0"/>
    <n v="15"/>
    <n v="3.7799999999999976"/>
    <x v="320"/>
    <n v="5288.2199999999966"/>
  </r>
  <r>
    <s v="PO-00322"/>
    <x v="2"/>
    <x v="250"/>
    <x v="54"/>
    <x v="4"/>
    <x v="1"/>
    <n v="513"/>
    <n v="24.91"/>
    <n v="22.58"/>
    <n v="29"/>
    <x v="0"/>
    <n v="4"/>
    <n v="2.3300000000000018"/>
    <x v="321"/>
    <n v="1195.2900000000009"/>
  </r>
  <r>
    <s v="PO-00323"/>
    <x v="1"/>
    <x v="228"/>
    <x v="54"/>
    <x v="1"/>
    <x v="1"/>
    <n v="1422"/>
    <n v="83.73"/>
    <n v="76.47"/>
    <n v="198"/>
    <x v="0"/>
    <n v="11"/>
    <n v="7.2600000000000051"/>
    <x v="322"/>
    <n v="10323.720000000007"/>
  </r>
  <r>
    <s v="PO-00324"/>
    <x v="0"/>
    <x v="110"/>
    <x v="101"/>
    <x v="0"/>
    <x v="1"/>
    <n v="1844"/>
    <n v="76.510000000000005"/>
    <n v="73.05"/>
    <m/>
    <x v="0"/>
    <n v="12"/>
    <n v="3.460000000000008"/>
    <x v="323"/>
    <n v="6380.2400000000143"/>
  </r>
  <r>
    <s v="PO-00325"/>
    <x v="2"/>
    <x v="251"/>
    <x v="13"/>
    <x v="4"/>
    <x v="1"/>
    <n v="709"/>
    <n v="61.64"/>
    <n v="54.55"/>
    <n v="41"/>
    <x v="0"/>
    <s v=""/>
    <n v="7.0900000000000034"/>
    <x v="324"/>
    <n v="5026.8100000000022"/>
  </r>
  <r>
    <s v="PO-00326"/>
    <x v="1"/>
    <x v="252"/>
    <x v="239"/>
    <x v="1"/>
    <x v="1"/>
    <n v="813"/>
    <n v="45.68"/>
    <n v="41.78"/>
    <m/>
    <x v="1"/>
    <n v="16"/>
    <n v="3.8999999999999986"/>
    <x v="325"/>
    <n v="3170.6999999999989"/>
  </r>
  <r>
    <s v="PO-00327"/>
    <x v="1"/>
    <x v="147"/>
    <x v="240"/>
    <x v="0"/>
    <x v="1"/>
    <n v="1004"/>
    <n v="96.51"/>
    <n v="92.9"/>
    <n v="146"/>
    <x v="1"/>
    <n v="3"/>
    <n v="3.6099999999999994"/>
    <x v="326"/>
    <n v="3624.4399999999996"/>
  </r>
  <r>
    <s v="PO-00328"/>
    <x v="4"/>
    <x v="136"/>
    <x v="241"/>
    <x v="3"/>
    <x v="1"/>
    <n v="452"/>
    <n v="46.45"/>
    <n v="40.39"/>
    <n v="9"/>
    <x v="0"/>
    <n v="4"/>
    <n v="6.0600000000000023"/>
    <x v="327"/>
    <n v="2739.1200000000008"/>
  </r>
  <r>
    <s v="PO-00329"/>
    <x v="3"/>
    <x v="250"/>
    <x v="87"/>
    <x v="3"/>
    <x v="3"/>
    <n v="1419"/>
    <n v="83.91"/>
    <n v="71.459999999999994"/>
    <n v="137"/>
    <x v="0"/>
    <n v="12"/>
    <n v="12.450000000000003"/>
    <x v="328"/>
    <n v="17666.550000000003"/>
  </r>
  <r>
    <s v="PO-00330"/>
    <x v="3"/>
    <x v="253"/>
    <x v="242"/>
    <x v="2"/>
    <x v="1"/>
    <n v="1584"/>
    <n v="53.73"/>
    <n v="51.92"/>
    <n v="167"/>
    <x v="1"/>
    <n v="18"/>
    <n v="1.8099999999999952"/>
    <x v="329"/>
    <n v="2867.0399999999922"/>
  </r>
  <r>
    <s v="PO-00331"/>
    <x v="2"/>
    <x v="254"/>
    <x v="57"/>
    <x v="1"/>
    <x v="3"/>
    <n v="196"/>
    <n v="44.36"/>
    <n v="43.81"/>
    <n v="6"/>
    <x v="0"/>
    <n v="18"/>
    <n v="0.54999999999999716"/>
    <x v="330"/>
    <n v="107.79999999999944"/>
  </r>
  <r>
    <s v="PO-00332"/>
    <x v="0"/>
    <x v="255"/>
    <x v="243"/>
    <x v="0"/>
    <x v="1"/>
    <n v="1221"/>
    <n v="53.19"/>
    <n v="46.18"/>
    <n v="29"/>
    <x v="0"/>
    <n v="4"/>
    <n v="7.009999999999998"/>
    <x v="331"/>
    <n v="8559.2099999999973"/>
  </r>
  <r>
    <s v="PO-00333"/>
    <x v="0"/>
    <x v="160"/>
    <x v="180"/>
    <x v="2"/>
    <x v="1"/>
    <n v="913"/>
    <n v="37.5"/>
    <n v="36.200000000000003"/>
    <m/>
    <x v="0"/>
    <n v="14"/>
    <n v="1.2999999999999972"/>
    <x v="332"/>
    <n v="1186.8999999999974"/>
  </r>
  <r>
    <s v="PO-00334"/>
    <x v="0"/>
    <x v="256"/>
    <x v="236"/>
    <x v="2"/>
    <x v="1"/>
    <n v="1784"/>
    <n v="85.01"/>
    <n v="76.69"/>
    <n v="37"/>
    <x v="0"/>
    <n v="2"/>
    <n v="8.3200000000000074"/>
    <x v="333"/>
    <n v="14842.880000000014"/>
  </r>
  <r>
    <s v="PO-00335"/>
    <x v="1"/>
    <x v="192"/>
    <x v="13"/>
    <x v="3"/>
    <x v="1"/>
    <n v="1893"/>
    <n v="55.8"/>
    <n v="52.35"/>
    <m/>
    <x v="0"/>
    <s v=""/>
    <n v="3.4499999999999957"/>
    <x v="334"/>
    <n v="6530.8499999999922"/>
  </r>
  <r>
    <s v="PO-00336"/>
    <x v="1"/>
    <x v="257"/>
    <x v="244"/>
    <x v="4"/>
    <x v="3"/>
    <n v="538"/>
    <n v="34.299999999999997"/>
    <n v="32.25"/>
    <n v="84"/>
    <x v="1"/>
    <n v="12"/>
    <n v="2.0499999999999972"/>
    <x v="335"/>
    <n v="1102.8999999999985"/>
  </r>
  <r>
    <s v="PO-00337"/>
    <x v="1"/>
    <x v="258"/>
    <x v="245"/>
    <x v="0"/>
    <x v="3"/>
    <n v="978"/>
    <n v="94.15"/>
    <n v="87.7"/>
    <n v="149"/>
    <x v="1"/>
    <n v="17"/>
    <n v="6.4500000000000028"/>
    <x v="336"/>
    <n v="6308.1000000000031"/>
  </r>
  <r>
    <s v="PO-00338"/>
    <x v="4"/>
    <x v="259"/>
    <x v="246"/>
    <x v="3"/>
    <x v="0"/>
    <n v="1713"/>
    <n v="47.45"/>
    <n v="42.05"/>
    <n v="53"/>
    <x v="0"/>
    <n v="16"/>
    <n v="5.4000000000000057"/>
    <x v="337"/>
    <n v="9250.2000000000098"/>
  </r>
  <r>
    <s v="PO-00339"/>
    <x v="1"/>
    <x v="260"/>
    <x v="247"/>
    <x v="3"/>
    <x v="3"/>
    <n v="600"/>
    <n v="60.1"/>
    <n v="57.92"/>
    <n v="95"/>
    <x v="1"/>
    <n v="4"/>
    <n v="2.1799999999999997"/>
    <x v="338"/>
    <n v="1307.9999999999998"/>
  </r>
  <r>
    <s v="PO-00340"/>
    <x v="0"/>
    <x v="261"/>
    <x v="100"/>
    <x v="4"/>
    <x v="3"/>
    <n v="387"/>
    <n v="100.28"/>
    <n v="85.54"/>
    <n v="5"/>
    <x v="0"/>
    <n v="18"/>
    <n v="14.739999999999995"/>
    <x v="339"/>
    <n v="5704.3799999999983"/>
  </r>
  <r>
    <s v="PO-00341"/>
    <x v="0"/>
    <x v="107"/>
    <x v="171"/>
    <x v="1"/>
    <x v="3"/>
    <n v="921"/>
    <n v="68.83"/>
    <n v="59.13"/>
    <n v="22"/>
    <x v="0"/>
    <n v="9"/>
    <n v="9.6999999999999957"/>
    <x v="340"/>
    <n v="8933.6999999999953"/>
  </r>
  <r>
    <s v="PO-00342"/>
    <x v="3"/>
    <x v="262"/>
    <x v="248"/>
    <x v="1"/>
    <x v="1"/>
    <n v="690"/>
    <n v="22.47"/>
    <n v="21.94"/>
    <n v="77"/>
    <x v="0"/>
    <n v="14"/>
    <n v="0.52999999999999758"/>
    <x v="341"/>
    <n v="365.69999999999834"/>
  </r>
  <r>
    <s v="PO-00343"/>
    <x v="0"/>
    <x v="263"/>
    <x v="249"/>
    <x v="0"/>
    <x v="0"/>
    <n v="1852"/>
    <n v="104.04"/>
    <n v="94.89"/>
    <n v="36"/>
    <x v="0"/>
    <n v="20"/>
    <n v="9.1500000000000057"/>
    <x v="342"/>
    <n v="16945.80000000001"/>
  </r>
  <r>
    <s v="PO-00344"/>
    <x v="1"/>
    <x v="264"/>
    <x v="106"/>
    <x v="4"/>
    <x v="1"/>
    <n v="522"/>
    <n v="66.83"/>
    <n v="58.01"/>
    <n v="74"/>
    <x v="0"/>
    <n v="18"/>
    <n v="8.82"/>
    <x v="343"/>
    <n v="4604.04"/>
  </r>
  <r>
    <s v="PO-00345"/>
    <x v="1"/>
    <x v="265"/>
    <x v="250"/>
    <x v="4"/>
    <x v="1"/>
    <n v="200"/>
    <n v="44.16"/>
    <n v="43.13"/>
    <n v="21"/>
    <x v="0"/>
    <n v="9"/>
    <n v="1.029999999999994"/>
    <x v="344"/>
    <n v="205.99999999999881"/>
  </r>
  <r>
    <s v="PO-00346"/>
    <x v="2"/>
    <x v="266"/>
    <x v="149"/>
    <x v="2"/>
    <x v="1"/>
    <n v="1488"/>
    <n v="22.76"/>
    <n v="21.99"/>
    <m/>
    <x v="0"/>
    <n v="9"/>
    <n v="0.77000000000000313"/>
    <x v="345"/>
    <n v="1145.7600000000048"/>
  </r>
  <r>
    <s v="PO-00347"/>
    <x v="4"/>
    <x v="25"/>
    <x v="251"/>
    <x v="4"/>
    <x v="1"/>
    <n v="1371"/>
    <n v="87.16"/>
    <n v="78.13"/>
    <n v="43"/>
    <x v="0"/>
    <n v="10"/>
    <n v="9.0300000000000011"/>
    <x v="346"/>
    <n v="12380.130000000001"/>
  </r>
  <r>
    <s v="PO-00348"/>
    <x v="0"/>
    <x v="267"/>
    <x v="13"/>
    <x v="0"/>
    <x v="1"/>
    <n v="1684"/>
    <n v="73.05"/>
    <n v="62.53"/>
    <m/>
    <x v="0"/>
    <s v=""/>
    <n v="10.519999999999996"/>
    <x v="347"/>
    <n v="17715.679999999993"/>
  </r>
  <r>
    <s v="PO-00349"/>
    <x v="4"/>
    <x v="112"/>
    <x v="252"/>
    <x v="4"/>
    <x v="1"/>
    <n v="312"/>
    <n v="63.52"/>
    <n v="58.09"/>
    <m/>
    <x v="0"/>
    <n v="6"/>
    <n v="5.43"/>
    <x v="348"/>
    <n v="1694.1599999999999"/>
  </r>
  <r>
    <s v="PO-00350"/>
    <x v="0"/>
    <x v="268"/>
    <x v="253"/>
    <x v="2"/>
    <x v="0"/>
    <n v="1837"/>
    <n v="99.04"/>
    <n v="86.51"/>
    <n v="39"/>
    <x v="0"/>
    <n v="19"/>
    <n v="12.530000000000001"/>
    <x v="349"/>
    <n v="23017.61"/>
  </r>
  <r>
    <s v="PO-00351"/>
    <x v="3"/>
    <x v="269"/>
    <x v="242"/>
    <x v="1"/>
    <x v="1"/>
    <n v="193"/>
    <n v="87.86"/>
    <n v="81.739999999999995"/>
    <n v="21"/>
    <x v="0"/>
    <n v="3"/>
    <n v="6.1200000000000045"/>
    <x v="350"/>
    <n v="1181.1600000000008"/>
  </r>
  <r>
    <s v="PO-00352"/>
    <x v="3"/>
    <x v="92"/>
    <x v="133"/>
    <x v="4"/>
    <x v="1"/>
    <n v="395"/>
    <n v="24.83"/>
    <n v="23.96"/>
    <n v="31"/>
    <x v="0"/>
    <n v="1"/>
    <n v="0.86999999999999744"/>
    <x v="351"/>
    <n v="343.64999999999901"/>
  </r>
  <r>
    <s v="PO-00353"/>
    <x v="4"/>
    <x v="270"/>
    <x v="254"/>
    <x v="4"/>
    <x v="0"/>
    <n v="673"/>
    <n v="39.58"/>
    <n v="35.83"/>
    <n v="25"/>
    <x v="0"/>
    <n v="17"/>
    <n v="3.75"/>
    <x v="352"/>
    <n v="2523.75"/>
  </r>
  <r>
    <s v="PO-00354"/>
    <x v="1"/>
    <x v="271"/>
    <x v="255"/>
    <x v="0"/>
    <x v="0"/>
    <n v="1066"/>
    <n v="33.33"/>
    <n v="28.47"/>
    <n v="162"/>
    <x v="1"/>
    <n v="14"/>
    <n v="4.8599999999999994"/>
    <x v="353"/>
    <n v="5180.7599999999993"/>
  </r>
  <r>
    <s v="PO-00355"/>
    <x v="2"/>
    <x v="197"/>
    <x v="256"/>
    <x v="2"/>
    <x v="1"/>
    <n v="1645"/>
    <n v="85.42"/>
    <n v="80.78"/>
    <n v="73"/>
    <x v="1"/>
    <n v="6"/>
    <n v="4.6400000000000006"/>
    <x v="354"/>
    <n v="7632.8000000000011"/>
  </r>
  <r>
    <s v="PO-00356"/>
    <x v="0"/>
    <x v="249"/>
    <x v="257"/>
    <x v="4"/>
    <x v="1"/>
    <n v="930"/>
    <n v="13.67"/>
    <n v="11.95"/>
    <n v="16"/>
    <x v="0"/>
    <n v="11"/>
    <n v="1.7200000000000006"/>
    <x v="355"/>
    <n v="1599.6000000000006"/>
  </r>
  <r>
    <s v="PO-00357"/>
    <x v="0"/>
    <x v="272"/>
    <x v="96"/>
    <x v="0"/>
    <x v="1"/>
    <n v="51"/>
    <n v="63.74"/>
    <n v="56.1"/>
    <n v="0"/>
    <x v="0"/>
    <n v="19"/>
    <n v="7.6400000000000006"/>
    <x v="356"/>
    <n v="389.64000000000004"/>
  </r>
  <r>
    <s v="PO-00358"/>
    <x v="2"/>
    <x v="106"/>
    <x v="258"/>
    <x v="2"/>
    <x v="1"/>
    <n v="946"/>
    <n v="81.77"/>
    <n v="71.650000000000006"/>
    <n v="55"/>
    <x v="0"/>
    <n v="2"/>
    <n v="10.11999999999999"/>
    <x v="357"/>
    <n v="9573.5199999999913"/>
  </r>
  <r>
    <s v="PO-00359"/>
    <x v="4"/>
    <x v="102"/>
    <x v="198"/>
    <x v="3"/>
    <x v="2"/>
    <n v="1377"/>
    <n v="94.69"/>
    <n v="84.2"/>
    <m/>
    <x v="0"/>
    <n v="20"/>
    <n v="10.489999999999995"/>
    <x v="358"/>
    <n v="14444.729999999992"/>
  </r>
  <r>
    <s v="PO-00360"/>
    <x v="4"/>
    <x v="273"/>
    <x v="259"/>
    <x v="2"/>
    <x v="0"/>
    <n v="303"/>
    <n v="41.6"/>
    <n v="40.51"/>
    <n v="11"/>
    <x v="0"/>
    <n v="3"/>
    <n v="1.0900000000000034"/>
    <x v="359"/>
    <n v="330.270000000001"/>
  </r>
  <r>
    <s v="PO-00361"/>
    <x v="0"/>
    <x v="175"/>
    <x v="260"/>
    <x v="3"/>
    <x v="1"/>
    <n v="1725"/>
    <n v="93.14"/>
    <n v="79.62"/>
    <n v="24"/>
    <x v="0"/>
    <n v="14"/>
    <n v="13.519999999999996"/>
    <x v="360"/>
    <n v="23321.999999999993"/>
  </r>
  <r>
    <s v="PO-00362"/>
    <x v="3"/>
    <x v="274"/>
    <x v="121"/>
    <x v="3"/>
    <x v="0"/>
    <n v="502"/>
    <n v="22.05"/>
    <n v="20.65"/>
    <n v="50"/>
    <x v="1"/>
    <n v="15"/>
    <n v="1.4000000000000021"/>
    <x v="361"/>
    <n v="702.80000000000109"/>
  </r>
  <r>
    <s v="PO-00363"/>
    <x v="2"/>
    <x v="275"/>
    <x v="261"/>
    <x v="2"/>
    <x v="1"/>
    <n v="1110"/>
    <n v="90.49"/>
    <n v="80.03"/>
    <n v="61"/>
    <x v="0"/>
    <n v="7"/>
    <n v="10.459999999999994"/>
    <x v="362"/>
    <n v="11610.599999999993"/>
  </r>
  <r>
    <s v="PO-00364"/>
    <x v="0"/>
    <x v="276"/>
    <x v="262"/>
    <x v="2"/>
    <x v="1"/>
    <n v="1233"/>
    <n v="23.08"/>
    <n v="20.57"/>
    <m/>
    <x v="0"/>
    <n v="4"/>
    <n v="2.509999999999998"/>
    <x v="363"/>
    <n v="3094.8299999999977"/>
  </r>
  <r>
    <s v="PO-00365"/>
    <x v="3"/>
    <x v="92"/>
    <x v="263"/>
    <x v="0"/>
    <x v="1"/>
    <n v="1064"/>
    <n v="48.04"/>
    <n v="43.6"/>
    <n v="94"/>
    <x v="0"/>
    <n v="4"/>
    <n v="4.4399999999999977"/>
    <x v="364"/>
    <n v="4724.159999999998"/>
  </r>
  <r>
    <s v="PO-00366"/>
    <x v="4"/>
    <x v="277"/>
    <x v="264"/>
    <x v="2"/>
    <x v="2"/>
    <n v="58"/>
    <n v="82.57"/>
    <n v="76.55"/>
    <m/>
    <x v="0"/>
    <n v="19"/>
    <n v="6.019999999999996"/>
    <x v="365"/>
    <n v="349.15999999999974"/>
  </r>
  <r>
    <s v="PO-00367"/>
    <x v="3"/>
    <x v="278"/>
    <x v="224"/>
    <x v="1"/>
    <x v="1"/>
    <n v="1306"/>
    <n v="23.49"/>
    <n v="20.170000000000002"/>
    <n v="116"/>
    <x v="1"/>
    <n v="10"/>
    <n v="3.3199999999999967"/>
    <x v="366"/>
    <n v="4335.9199999999955"/>
  </r>
  <r>
    <s v="PO-00368"/>
    <x v="1"/>
    <x v="104"/>
    <x v="265"/>
    <x v="4"/>
    <x v="1"/>
    <n v="1172"/>
    <n v="32.93"/>
    <n v="29.28"/>
    <m/>
    <x v="1"/>
    <n v="13"/>
    <n v="3.6499999999999986"/>
    <x v="367"/>
    <n v="4277.7999999999984"/>
  </r>
  <r>
    <s v="PO-00369"/>
    <x v="0"/>
    <x v="279"/>
    <x v="13"/>
    <x v="2"/>
    <x v="1"/>
    <n v="1732"/>
    <n v="82.5"/>
    <n v="71.709999999999994"/>
    <n v="24"/>
    <x v="0"/>
    <s v=""/>
    <n v="10.790000000000006"/>
    <x v="368"/>
    <n v="18688.28000000001"/>
  </r>
  <r>
    <s v="PO-00370"/>
    <x v="2"/>
    <x v="280"/>
    <x v="46"/>
    <x v="3"/>
    <x v="1"/>
    <n v="865"/>
    <n v="81.540000000000006"/>
    <n v="71.59"/>
    <n v="39"/>
    <x v="0"/>
    <n v="7"/>
    <n v="9.9500000000000028"/>
    <x v="369"/>
    <n v="8606.7500000000018"/>
  </r>
  <r>
    <s v="PO-00371"/>
    <x v="3"/>
    <x v="281"/>
    <x v="202"/>
    <x v="3"/>
    <x v="1"/>
    <n v="257"/>
    <n v="68.72"/>
    <n v="66.92"/>
    <n v="22"/>
    <x v="0"/>
    <n v="7"/>
    <n v="1.7999999999999972"/>
    <x v="370"/>
    <n v="462.59999999999928"/>
  </r>
  <r>
    <s v="PO-00372"/>
    <x v="4"/>
    <x v="282"/>
    <x v="180"/>
    <x v="2"/>
    <x v="1"/>
    <n v="1204"/>
    <n v="73.180000000000007"/>
    <n v="67.59"/>
    <n v="31"/>
    <x v="0"/>
    <n v="9"/>
    <n v="5.5900000000000034"/>
    <x v="371"/>
    <n v="6730.3600000000042"/>
  </r>
  <r>
    <s v="PO-00373"/>
    <x v="3"/>
    <x v="283"/>
    <x v="74"/>
    <x v="4"/>
    <x v="2"/>
    <n v="453"/>
    <n v="64.14"/>
    <n v="60.18"/>
    <n v="51"/>
    <x v="0"/>
    <n v="4"/>
    <n v="3.9600000000000009"/>
    <x v="372"/>
    <n v="1793.8800000000003"/>
  </r>
  <r>
    <s v="PO-00374"/>
    <x v="4"/>
    <x v="235"/>
    <x v="266"/>
    <x v="4"/>
    <x v="1"/>
    <n v="201"/>
    <n v="33.81"/>
    <n v="32.54"/>
    <n v="3"/>
    <x v="0"/>
    <n v="14"/>
    <n v="1.2700000000000031"/>
    <x v="373"/>
    <n v="255.27000000000064"/>
  </r>
  <r>
    <s v="PO-00375"/>
    <x v="1"/>
    <x v="284"/>
    <x v="169"/>
    <x v="0"/>
    <x v="1"/>
    <n v="103"/>
    <n v="44.61"/>
    <n v="42.88"/>
    <n v="10"/>
    <x v="0"/>
    <n v="13"/>
    <n v="1.7299999999999969"/>
    <x v="374"/>
    <n v="178.18999999999969"/>
  </r>
  <r>
    <s v="PO-00376"/>
    <x v="4"/>
    <x v="106"/>
    <x v="267"/>
    <x v="0"/>
    <x v="1"/>
    <n v="1193"/>
    <n v="27.4"/>
    <n v="27.09"/>
    <m/>
    <x v="0"/>
    <n v="8"/>
    <n v="0.30999999999999872"/>
    <x v="375"/>
    <n v="369.82999999999845"/>
  </r>
  <r>
    <s v="PO-00377"/>
    <x v="2"/>
    <x v="199"/>
    <x v="268"/>
    <x v="0"/>
    <x v="2"/>
    <n v="1746"/>
    <n v="93.6"/>
    <n v="89.81"/>
    <n v="85"/>
    <x v="0"/>
    <n v="12"/>
    <n v="3.789999999999992"/>
    <x v="376"/>
    <n v="6617.3399999999865"/>
  </r>
  <r>
    <s v="PO-00378"/>
    <x v="1"/>
    <x v="285"/>
    <x v="269"/>
    <x v="4"/>
    <x v="1"/>
    <n v="1993"/>
    <n v="65.94"/>
    <n v="59.36"/>
    <m/>
    <x v="0"/>
    <n v="2"/>
    <n v="6.5799999999999983"/>
    <x v="377"/>
    <n v="13113.939999999997"/>
  </r>
  <r>
    <s v="PO-00379"/>
    <x v="3"/>
    <x v="160"/>
    <x v="270"/>
    <x v="3"/>
    <x v="1"/>
    <n v="677"/>
    <n v="46.54"/>
    <n v="43.11"/>
    <m/>
    <x v="1"/>
    <n v="15"/>
    <n v="3.4299999999999997"/>
    <x v="378"/>
    <n v="2322.1099999999997"/>
  </r>
  <r>
    <s v="PO-00380"/>
    <x v="0"/>
    <x v="4"/>
    <x v="13"/>
    <x v="0"/>
    <x v="3"/>
    <n v="636"/>
    <n v="53.64"/>
    <n v="49.23"/>
    <n v="18"/>
    <x v="0"/>
    <s v=""/>
    <n v="4.4100000000000037"/>
    <x v="379"/>
    <n v="2804.7600000000025"/>
  </r>
  <r>
    <s v="PO-00381"/>
    <x v="4"/>
    <x v="286"/>
    <x v="38"/>
    <x v="2"/>
    <x v="1"/>
    <n v="1698"/>
    <n v="100.97"/>
    <n v="98.73"/>
    <n v="52"/>
    <x v="0"/>
    <n v="19"/>
    <n v="2.2399999999999949"/>
    <x v="380"/>
    <n v="3803.5199999999913"/>
  </r>
  <r>
    <s v="PO-00382"/>
    <x v="2"/>
    <x v="287"/>
    <x v="60"/>
    <x v="0"/>
    <x v="1"/>
    <n v="1493"/>
    <n v="24.87"/>
    <n v="22.89"/>
    <n v="56"/>
    <x v="0"/>
    <n v="13"/>
    <n v="1.9800000000000004"/>
    <x v="381"/>
    <n v="2956.1400000000008"/>
  </r>
  <r>
    <s v="PO-00383"/>
    <x v="0"/>
    <x v="136"/>
    <x v="271"/>
    <x v="2"/>
    <x v="1"/>
    <n v="1495"/>
    <n v="64.33"/>
    <n v="58.18"/>
    <n v="26"/>
    <x v="0"/>
    <n v="14"/>
    <n v="6.1499999999999986"/>
    <x v="382"/>
    <n v="9194.2499999999982"/>
  </r>
  <r>
    <s v="PO-00384"/>
    <x v="0"/>
    <x v="176"/>
    <x v="272"/>
    <x v="2"/>
    <x v="0"/>
    <n v="153"/>
    <n v="59.42"/>
    <n v="52"/>
    <n v="3"/>
    <x v="0"/>
    <n v="13"/>
    <n v="7.4200000000000017"/>
    <x v="383"/>
    <n v="1135.2600000000002"/>
  </r>
  <r>
    <s v="PO-00385"/>
    <x v="1"/>
    <x v="288"/>
    <x v="273"/>
    <x v="3"/>
    <x v="0"/>
    <n v="1925"/>
    <n v="70.88"/>
    <n v="63.41"/>
    <n v="292"/>
    <x v="0"/>
    <n v="11"/>
    <n v="7.4699999999999989"/>
    <x v="384"/>
    <n v="14379.749999999998"/>
  </r>
  <r>
    <s v="PO-00386"/>
    <x v="3"/>
    <x v="289"/>
    <x v="274"/>
    <x v="2"/>
    <x v="1"/>
    <n v="303"/>
    <n v="12.97"/>
    <n v="11.42"/>
    <m/>
    <x v="1"/>
    <n v="20"/>
    <n v="1.5500000000000007"/>
    <x v="385"/>
    <n v="469.6500000000002"/>
  </r>
  <r>
    <s v="PO-00387"/>
    <x v="0"/>
    <x v="290"/>
    <x v="275"/>
    <x v="0"/>
    <x v="1"/>
    <n v="1300"/>
    <n v="92.92"/>
    <n v="90.63"/>
    <m/>
    <x v="0"/>
    <n v="12"/>
    <n v="2.2900000000000063"/>
    <x v="386"/>
    <n v="2977.0000000000082"/>
  </r>
  <r>
    <s v="PO-00388"/>
    <x v="2"/>
    <x v="291"/>
    <x v="276"/>
    <x v="3"/>
    <x v="1"/>
    <n v="1185"/>
    <n v="103.28"/>
    <n v="99.05"/>
    <m/>
    <x v="0"/>
    <n v="4"/>
    <n v="4.230000000000004"/>
    <x v="387"/>
    <n v="5012.5500000000047"/>
  </r>
  <r>
    <s v="PO-00389"/>
    <x v="4"/>
    <x v="214"/>
    <x v="277"/>
    <x v="3"/>
    <x v="1"/>
    <n v="559"/>
    <n v="67.56"/>
    <n v="57.98"/>
    <n v="15"/>
    <x v="0"/>
    <n v="19"/>
    <n v="9.5800000000000054"/>
    <x v="388"/>
    <n v="5355.220000000003"/>
  </r>
  <r>
    <s v="PO-00390"/>
    <x v="4"/>
    <x v="128"/>
    <x v="278"/>
    <x v="4"/>
    <x v="3"/>
    <n v="1546"/>
    <n v="78.88"/>
    <n v="78"/>
    <n v="38"/>
    <x v="0"/>
    <n v="3"/>
    <n v="0.87999999999999545"/>
    <x v="389"/>
    <n v="1360.479999999993"/>
  </r>
  <r>
    <s v="PO-00391"/>
    <x v="4"/>
    <x v="292"/>
    <x v="279"/>
    <x v="2"/>
    <x v="1"/>
    <n v="148"/>
    <n v="93.02"/>
    <n v="85.96"/>
    <n v="4"/>
    <x v="0"/>
    <n v="10"/>
    <n v="7.0600000000000023"/>
    <x v="390"/>
    <n v="1044.8800000000003"/>
  </r>
  <r>
    <s v="PO-00392"/>
    <x v="1"/>
    <x v="293"/>
    <x v="256"/>
    <x v="0"/>
    <x v="1"/>
    <n v="202"/>
    <n v="81.75"/>
    <n v="78.260000000000005"/>
    <n v="37"/>
    <x v="1"/>
    <n v="8"/>
    <n v="3.4899999999999949"/>
    <x v="391"/>
    <n v="704.979999999999"/>
  </r>
  <r>
    <s v="PO-00393"/>
    <x v="2"/>
    <x v="185"/>
    <x v="280"/>
    <x v="2"/>
    <x v="1"/>
    <n v="1934"/>
    <n v="25.86"/>
    <n v="25.6"/>
    <n v="78"/>
    <x v="0"/>
    <n v="6"/>
    <n v="0.25999999999999801"/>
    <x v="392"/>
    <n v="502.83999999999617"/>
  </r>
  <r>
    <s v="PO-00394"/>
    <x v="0"/>
    <x v="294"/>
    <x v="281"/>
    <x v="0"/>
    <x v="1"/>
    <n v="963"/>
    <n v="64.959999999999994"/>
    <n v="64.069999999999993"/>
    <n v="20"/>
    <x v="0"/>
    <n v="4"/>
    <n v="0.89000000000000057"/>
    <x v="393"/>
    <n v="857.0700000000005"/>
  </r>
  <r>
    <s v="PO-00395"/>
    <x v="2"/>
    <x v="295"/>
    <x v="231"/>
    <x v="1"/>
    <x v="1"/>
    <n v="1969"/>
    <n v="71.709999999999994"/>
    <n v="61.96"/>
    <m/>
    <x v="0"/>
    <n v="7"/>
    <n v="9.7499999999999929"/>
    <x v="394"/>
    <n v="19197.749999999985"/>
  </r>
  <r>
    <s v="PO-00396"/>
    <x v="1"/>
    <x v="296"/>
    <x v="13"/>
    <x v="4"/>
    <x v="1"/>
    <n v="927"/>
    <n v="48.89"/>
    <n v="46.05"/>
    <n v="138"/>
    <x v="0"/>
    <s v=""/>
    <n v="2.8400000000000034"/>
    <x v="395"/>
    <n v="2632.680000000003"/>
  </r>
  <r>
    <s v="PO-00397"/>
    <x v="1"/>
    <x v="297"/>
    <x v="282"/>
    <x v="3"/>
    <x v="0"/>
    <n v="387"/>
    <n v="77.81"/>
    <n v="69.040000000000006"/>
    <n v="67"/>
    <x v="0"/>
    <n v="5"/>
    <n v="8.769999999999996"/>
    <x v="396"/>
    <n v="3393.9899999999984"/>
  </r>
  <r>
    <s v="PO-00398"/>
    <x v="3"/>
    <x v="43"/>
    <x v="283"/>
    <x v="4"/>
    <x v="1"/>
    <n v="1779"/>
    <n v="97.86"/>
    <n v="94.36"/>
    <n v="176"/>
    <x v="0"/>
    <n v="5"/>
    <n v="3.5"/>
    <x v="397"/>
    <n v="6226.5"/>
  </r>
  <r>
    <s v="PO-00399"/>
    <x v="2"/>
    <x v="298"/>
    <x v="1"/>
    <x v="1"/>
    <x v="3"/>
    <n v="871"/>
    <n v="94.7"/>
    <n v="92.66"/>
    <n v="46"/>
    <x v="0"/>
    <n v="6"/>
    <n v="2.0400000000000063"/>
    <x v="398"/>
    <n v="1776.8400000000054"/>
  </r>
  <r>
    <s v="PO-00400"/>
    <x v="4"/>
    <x v="299"/>
    <x v="284"/>
    <x v="4"/>
    <x v="1"/>
    <n v="1236"/>
    <n v="51.33"/>
    <n v="44.03"/>
    <n v="25"/>
    <x v="0"/>
    <n v="3"/>
    <n v="7.2999999999999972"/>
    <x v="399"/>
    <n v="9022.7999999999956"/>
  </r>
  <r>
    <s v="PO-00401"/>
    <x v="1"/>
    <x v="130"/>
    <x v="148"/>
    <x v="4"/>
    <x v="1"/>
    <n v="1793"/>
    <n v="22.01"/>
    <n v="21.78"/>
    <n v="285"/>
    <x v="0"/>
    <n v="16"/>
    <n v="0.23000000000000043"/>
    <x v="400"/>
    <n v="412.39000000000078"/>
  </r>
  <r>
    <s v="PO-00402"/>
    <x v="1"/>
    <x v="34"/>
    <x v="139"/>
    <x v="1"/>
    <x v="1"/>
    <n v="1006"/>
    <n v="101.1"/>
    <n v="89.04"/>
    <n v="139"/>
    <x v="0"/>
    <n v="19"/>
    <n v="12.059999999999988"/>
    <x v="401"/>
    <n v="12132.359999999988"/>
  </r>
  <r>
    <s v="PO-00403"/>
    <x v="3"/>
    <x v="300"/>
    <x v="285"/>
    <x v="4"/>
    <x v="0"/>
    <n v="1754"/>
    <n v="89.35"/>
    <n v="86.54"/>
    <n v="161"/>
    <x v="1"/>
    <n v="15"/>
    <n v="2.8099999999999881"/>
    <x v="402"/>
    <n v="4928.7399999999789"/>
  </r>
  <r>
    <s v="PO-00404"/>
    <x v="4"/>
    <x v="301"/>
    <x v="286"/>
    <x v="4"/>
    <x v="1"/>
    <n v="210"/>
    <n v="22.17"/>
    <n v="21.32"/>
    <n v="10"/>
    <x v="0"/>
    <n v="19"/>
    <n v="0.85000000000000142"/>
    <x v="403"/>
    <n v="178.50000000000028"/>
  </r>
  <r>
    <s v="PO-00405"/>
    <x v="1"/>
    <x v="302"/>
    <x v="287"/>
    <x v="1"/>
    <x v="1"/>
    <n v="1653"/>
    <n v="102.16"/>
    <n v="91.91"/>
    <n v="217"/>
    <x v="0"/>
    <n v="20"/>
    <n v="10.25"/>
    <x v="404"/>
    <n v="16943.25"/>
  </r>
  <r>
    <s v="PO-00406"/>
    <x v="0"/>
    <x v="303"/>
    <x v="90"/>
    <x v="1"/>
    <x v="2"/>
    <n v="850"/>
    <n v="91.38"/>
    <n v="88.41"/>
    <n v="24"/>
    <x v="0"/>
    <n v="11"/>
    <n v="2.9699999999999989"/>
    <x v="405"/>
    <n v="2524.4999999999991"/>
  </r>
  <r>
    <s v="PO-00407"/>
    <x v="4"/>
    <x v="304"/>
    <x v="288"/>
    <x v="3"/>
    <x v="1"/>
    <n v="447"/>
    <n v="59.81"/>
    <n v="57.92"/>
    <n v="13"/>
    <x v="0"/>
    <n v="3"/>
    <n v="1.8900000000000006"/>
    <x v="406"/>
    <n v="844.83000000000027"/>
  </r>
  <r>
    <s v="PO-00408"/>
    <x v="2"/>
    <x v="305"/>
    <x v="289"/>
    <x v="0"/>
    <x v="1"/>
    <n v="1350"/>
    <n v="65.11"/>
    <n v="56.95"/>
    <n v="71"/>
    <x v="0"/>
    <n v="10"/>
    <n v="8.1599999999999966"/>
    <x v="407"/>
    <n v="11015.999999999995"/>
  </r>
  <r>
    <s v="PO-00409"/>
    <x v="3"/>
    <x v="306"/>
    <x v="290"/>
    <x v="0"/>
    <x v="1"/>
    <n v="865"/>
    <n v="51.19"/>
    <n v="47.76"/>
    <n v="83"/>
    <x v="0"/>
    <n v="19"/>
    <n v="3.4299999999999997"/>
    <x v="408"/>
    <n v="2966.95"/>
  </r>
  <r>
    <s v="PO-00410"/>
    <x v="0"/>
    <x v="307"/>
    <x v="291"/>
    <x v="1"/>
    <x v="1"/>
    <n v="1989"/>
    <n v="16.5"/>
    <n v="15.89"/>
    <n v="57"/>
    <x v="0"/>
    <n v="17"/>
    <n v="0.60999999999999943"/>
    <x v="409"/>
    <n v="1213.2899999999988"/>
  </r>
  <r>
    <s v="PO-00411"/>
    <x v="0"/>
    <x v="43"/>
    <x v="94"/>
    <x v="0"/>
    <x v="1"/>
    <n v="1577"/>
    <n v="41.77"/>
    <n v="39.58"/>
    <n v="32"/>
    <x v="0"/>
    <n v="15"/>
    <n v="2.1900000000000048"/>
    <x v="410"/>
    <n v="3453.6300000000078"/>
  </r>
  <r>
    <s v="PO-00412"/>
    <x v="2"/>
    <x v="18"/>
    <x v="292"/>
    <x v="2"/>
    <x v="3"/>
    <n v="1969"/>
    <n v="89.25"/>
    <n v="87.28"/>
    <n v="108"/>
    <x v="1"/>
    <n v="2"/>
    <n v="1.9699999999999989"/>
    <x v="411"/>
    <n v="3878.9299999999976"/>
  </r>
  <r>
    <s v="PO-00413"/>
    <x v="3"/>
    <x v="151"/>
    <x v="186"/>
    <x v="2"/>
    <x v="2"/>
    <n v="1465"/>
    <n v="11.25"/>
    <n v="9.61"/>
    <n v="151"/>
    <x v="0"/>
    <n v="10"/>
    <n v="1.6400000000000006"/>
    <x v="412"/>
    <n v="2402.6000000000008"/>
  </r>
  <r>
    <s v="PO-00414"/>
    <x v="1"/>
    <x v="129"/>
    <x v="293"/>
    <x v="2"/>
    <x v="3"/>
    <n v="1208"/>
    <n v="41.62"/>
    <n v="39.46"/>
    <m/>
    <x v="0"/>
    <n v="3"/>
    <n v="2.1599999999999966"/>
    <x v="413"/>
    <n v="2609.2799999999961"/>
  </r>
  <r>
    <s v="PO-00415"/>
    <x v="3"/>
    <x v="308"/>
    <x v="147"/>
    <x v="3"/>
    <x v="1"/>
    <n v="1268"/>
    <n v="46.06"/>
    <n v="45.26"/>
    <n v="123"/>
    <x v="0"/>
    <n v="17"/>
    <n v="0.80000000000000426"/>
    <x v="414"/>
    <n v="1014.4000000000054"/>
  </r>
  <r>
    <s v="PO-00416"/>
    <x v="1"/>
    <x v="37"/>
    <x v="131"/>
    <x v="0"/>
    <x v="1"/>
    <n v="450"/>
    <n v="59.24"/>
    <n v="55.03"/>
    <n v="68"/>
    <x v="1"/>
    <n v="19"/>
    <n v="4.2100000000000009"/>
    <x v="415"/>
    <n v="1894.5000000000005"/>
  </r>
  <r>
    <s v="PO-00417"/>
    <x v="2"/>
    <x v="307"/>
    <x v="294"/>
    <x v="4"/>
    <x v="2"/>
    <n v="689"/>
    <n v="102.53"/>
    <n v="95.23"/>
    <n v="38"/>
    <x v="0"/>
    <n v="2"/>
    <n v="7.2999999999999972"/>
    <x v="416"/>
    <n v="5029.699999999998"/>
  </r>
  <r>
    <s v="PO-00418"/>
    <x v="2"/>
    <x v="170"/>
    <x v="207"/>
    <x v="1"/>
    <x v="1"/>
    <n v="1106"/>
    <n v="44.05"/>
    <n v="38.6"/>
    <n v="51"/>
    <x v="0"/>
    <n v="19"/>
    <n v="5.4499999999999957"/>
    <x v="417"/>
    <n v="6027.6999999999953"/>
  </r>
  <r>
    <s v="PO-00419"/>
    <x v="0"/>
    <x v="309"/>
    <x v="86"/>
    <x v="0"/>
    <x v="1"/>
    <n v="737"/>
    <n v="43.08"/>
    <n v="42.58"/>
    <n v="21"/>
    <x v="0"/>
    <n v="11"/>
    <n v="0.5"/>
    <x v="418"/>
    <n v="368.5"/>
  </r>
  <r>
    <s v="PO-00420"/>
    <x v="0"/>
    <x v="310"/>
    <x v="54"/>
    <x v="3"/>
    <x v="1"/>
    <n v="509"/>
    <n v="76.760000000000005"/>
    <n v="74.72"/>
    <n v="7"/>
    <x v="1"/>
    <n v="17"/>
    <n v="2.0400000000000063"/>
    <x v="419"/>
    <n v="1038.3600000000031"/>
  </r>
  <r>
    <s v="PO-00421"/>
    <x v="0"/>
    <x v="137"/>
    <x v="295"/>
    <x v="4"/>
    <x v="1"/>
    <n v="1004"/>
    <n v="50.7"/>
    <n v="46.59"/>
    <n v="27"/>
    <x v="0"/>
    <n v="2"/>
    <n v="4.1099999999999994"/>
    <x v="420"/>
    <n v="4126.4399999999996"/>
  </r>
  <r>
    <s v="PO-00422"/>
    <x v="2"/>
    <x v="311"/>
    <x v="296"/>
    <x v="1"/>
    <x v="3"/>
    <n v="1956"/>
    <n v="31.88"/>
    <n v="28.48"/>
    <n v="86"/>
    <x v="0"/>
    <n v="11"/>
    <n v="3.3999999999999986"/>
    <x v="421"/>
    <n v="6650.3999999999969"/>
  </r>
  <r>
    <s v="PO-00423"/>
    <x v="1"/>
    <x v="312"/>
    <x v="13"/>
    <x v="4"/>
    <x v="1"/>
    <n v="519"/>
    <n v="51.73"/>
    <n v="47.52"/>
    <n v="81"/>
    <x v="1"/>
    <s v=""/>
    <n v="4.2099999999999937"/>
    <x v="422"/>
    <n v="2184.9899999999966"/>
  </r>
  <r>
    <s v="PO-00424"/>
    <x v="2"/>
    <x v="313"/>
    <x v="134"/>
    <x v="1"/>
    <x v="2"/>
    <n v="1448"/>
    <n v="25.06"/>
    <n v="21.62"/>
    <n v="84"/>
    <x v="0"/>
    <n v="6"/>
    <n v="3.4399999999999977"/>
    <x v="423"/>
    <n v="4981.1199999999972"/>
  </r>
  <r>
    <s v="PO-00425"/>
    <x v="2"/>
    <x v="314"/>
    <x v="120"/>
    <x v="2"/>
    <x v="1"/>
    <n v="1095"/>
    <n v="26.91"/>
    <n v="23.75"/>
    <n v="53"/>
    <x v="0"/>
    <n v="15"/>
    <n v="3.16"/>
    <x v="424"/>
    <n v="3460.2000000000003"/>
  </r>
  <r>
    <s v="PO-00426"/>
    <x v="0"/>
    <x v="145"/>
    <x v="13"/>
    <x v="1"/>
    <x v="1"/>
    <n v="799"/>
    <n v="56.22"/>
    <n v="49.51"/>
    <n v="18"/>
    <x v="0"/>
    <s v=""/>
    <n v="6.7100000000000009"/>
    <x v="425"/>
    <n v="5361.2900000000009"/>
  </r>
  <r>
    <s v="PO-00427"/>
    <x v="3"/>
    <x v="315"/>
    <x v="262"/>
    <x v="1"/>
    <x v="2"/>
    <n v="1743"/>
    <n v="51.04"/>
    <n v="47.15"/>
    <n v="160"/>
    <x v="0"/>
    <n v="20"/>
    <n v="3.8900000000000006"/>
    <x v="426"/>
    <n v="6780.2700000000013"/>
  </r>
  <r>
    <s v="PO-00428"/>
    <x v="0"/>
    <x v="316"/>
    <x v="297"/>
    <x v="3"/>
    <x v="1"/>
    <n v="87"/>
    <n v="100.65"/>
    <n v="85.56"/>
    <n v="1"/>
    <x v="0"/>
    <n v="12"/>
    <n v="15.090000000000003"/>
    <x v="427"/>
    <n v="1312.8300000000004"/>
  </r>
  <r>
    <s v="PO-00429"/>
    <x v="3"/>
    <x v="317"/>
    <x v="13"/>
    <x v="3"/>
    <x v="1"/>
    <n v="279"/>
    <n v="47.52"/>
    <n v="46.5"/>
    <n v="28"/>
    <x v="1"/>
    <s v=""/>
    <n v="1.0200000000000031"/>
    <x v="428"/>
    <n v="284.58000000000089"/>
  </r>
  <r>
    <s v="PO-00430"/>
    <x v="1"/>
    <x v="318"/>
    <x v="228"/>
    <x v="3"/>
    <x v="1"/>
    <n v="1438"/>
    <n v="66.61"/>
    <n v="58.5"/>
    <n v="237"/>
    <x v="0"/>
    <n v="11"/>
    <n v="8.11"/>
    <x v="429"/>
    <n v="11662.179999999998"/>
  </r>
  <r>
    <s v="PO-00431"/>
    <x v="1"/>
    <x v="21"/>
    <x v="297"/>
    <x v="0"/>
    <x v="2"/>
    <n v="612"/>
    <n v="72.930000000000007"/>
    <n v="63.32"/>
    <n v="99"/>
    <x v="0"/>
    <n v="2"/>
    <n v="9.6100000000000065"/>
    <x v="430"/>
    <n v="5881.3200000000043"/>
  </r>
  <r>
    <s v="PO-00432"/>
    <x v="4"/>
    <x v="278"/>
    <x v="298"/>
    <x v="2"/>
    <x v="3"/>
    <n v="487"/>
    <n v="11.18"/>
    <n v="10.63"/>
    <n v="15"/>
    <x v="0"/>
    <n v="11"/>
    <n v="0.54999999999999893"/>
    <x v="431"/>
    <n v="267.84999999999945"/>
  </r>
  <r>
    <s v="PO-00433"/>
    <x v="4"/>
    <x v="1"/>
    <x v="7"/>
    <x v="2"/>
    <x v="2"/>
    <n v="1849"/>
    <n v="70.760000000000005"/>
    <n v="69.25"/>
    <n v="51"/>
    <x v="0"/>
    <n v="4"/>
    <n v="1.5100000000000051"/>
    <x v="432"/>
    <n v="2791.9900000000093"/>
  </r>
  <r>
    <s v="PO-00434"/>
    <x v="4"/>
    <x v="225"/>
    <x v="299"/>
    <x v="1"/>
    <x v="2"/>
    <n v="1356"/>
    <n v="26.28"/>
    <n v="25.44"/>
    <n v="47"/>
    <x v="0"/>
    <n v="13"/>
    <n v="0.83999999999999986"/>
    <x v="433"/>
    <n v="1139.0399999999997"/>
  </r>
  <r>
    <s v="PO-00435"/>
    <x v="1"/>
    <x v="319"/>
    <x v="300"/>
    <x v="3"/>
    <x v="1"/>
    <n v="76"/>
    <n v="107.59"/>
    <n v="96.33"/>
    <n v="10"/>
    <x v="0"/>
    <n v="20"/>
    <n v="11.260000000000005"/>
    <x v="434"/>
    <n v="855.76000000000045"/>
  </r>
  <r>
    <s v="PO-00436"/>
    <x v="0"/>
    <x v="320"/>
    <x v="301"/>
    <x v="2"/>
    <x v="2"/>
    <n v="275"/>
    <n v="23.96"/>
    <n v="20.440000000000001"/>
    <m/>
    <x v="0"/>
    <n v="11"/>
    <n v="3.5199999999999996"/>
    <x v="435"/>
    <n v="967.99999999999989"/>
  </r>
  <r>
    <s v="PO-00437"/>
    <x v="0"/>
    <x v="9"/>
    <x v="140"/>
    <x v="2"/>
    <x v="1"/>
    <n v="1350"/>
    <n v="51.57"/>
    <n v="48.07"/>
    <m/>
    <x v="0"/>
    <n v="5"/>
    <n v="3.5"/>
    <x v="436"/>
    <n v="4725"/>
  </r>
  <r>
    <s v="PO-00438"/>
    <x v="0"/>
    <x v="321"/>
    <x v="13"/>
    <x v="1"/>
    <x v="1"/>
    <n v="847"/>
    <n v="17.77"/>
    <n v="17.39"/>
    <m/>
    <x v="0"/>
    <s v=""/>
    <n v="0.37999999999999901"/>
    <x v="437"/>
    <n v="321.85999999999916"/>
  </r>
  <r>
    <s v="PO-00439"/>
    <x v="2"/>
    <x v="286"/>
    <x v="138"/>
    <x v="1"/>
    <x v="1"/>
    <n v="1682"/>
    <n v="105.7"/>
    <n v="101.3"/>
    <n v="94"/>
    <x v="0"/>
    <n v="13"/>
    <n v="4.4000000000000057"/>
    <x v="438"/>
    <n v="7400.8000000000093"/>
  </r>
  <r>
    <s v="PO-00440"/>
    <x v="4"/>
    <x v="322"/>
    <x v="302"/>
    <x v="4"/>
    <x v="1"/>
    <n v="333"/>
    <n v="60.44"/>
    <n v="58.54"/>
    <n v="8"/>
    <x v="0"/>
    <n v="3"/>
    <n v="1.8999999999999986"/>
    <x v="439"/>
    <n v="632.69999999999948"/>
  </r>
  <r>
    <s v="PO-00441"/>
    <x v="0"/>
    <x v="50"/>
    <x v="303"/>
    <x v="4"/>
    <x v="0"/>
    <n v="928"/>
    <n v="69.31"/>
    <n v="67.260000000000005"/>
    <n v="20"/>
    <x v="0"/>
    <n v="13"/>
    <n v="2.0499999999999972"/>
    <x v="440"/>
    <n v="1902.3999999999974"/>
  </r>
  <r>
    <s v="PO-00442"/>
    <x v="4"/>
    <x v="323"/>
    <x v="304"/>
    <x v="1"/>
    <x v="2"/>
    <n v="1009"/>
    <n v="16.440000000000001"/>
    <n v="16.18"/>
    <m/>
    <x v="0"/>
    <n v="11"/>
    <n v="0.26000000000000156"/>
    <x v="441"/>
    <n v="262.34000000000157"/>
  </r>
  <r>
    <s v="PO-00443"/>
    <x v="4"/>
    <x v="324"/>
    <x v="305"/>
    <x v="4"/>
    <x v="3"/>
    <n v="1554"/>
    <n v="82.92"/>
    <n v="74.819999999999993"/>
    <n v="44"/>
    <x v="0"/>
    <n v="17"/>
    <n v="8.1000000000000085"/>
    <x v="442"/>
    <n v="12587.400000000012"/>
  </r>
  <r>
    <s v="PO-00444"/>
    <x v="2"/>
    <x v="325"/>
    <x v="188"/>
    <x v="2"/>
    <x v="2"/>
    <n v="502"/>
    <n v="29.47"/>
    <n v="28.94"/>
    <n v="27"/>
    <x v="0"/>
    <n v="14"/>
    <n v="0.52999999999999758"/>
    <x v="443"/>
    <n v="266.05999999999881"/>
  </r>
  <r>
    <s v="PO-00445"/>
    <x v="1"/>
    <x v="326"/>
    <x v="183"/>
    <x v="1"/>
    <x v="1"/>
    <n v="1069"/>
    <n v="91.28"/>
    <n v="82.64"/>
    <m/>
    <x v="0"/>
    <n v="1"/>
    <n v="8.64"/>
    <x v="444"/>
    <n v="9236.16"/>
  </r>
  <r>
    <s v="PO-00446"/>
    <x v="0"/>
    <x v="327"/>
    <x v="275"/>
    <x v="1"/>
    <x v="3"/>
    <n v="1902"/>
    <n v="29.89"/>
    <n v="25.83"/>
    <n v="41"/>
    <x v="0"/>
    <n v="6"/>
    <n v="4.0600000000000023"/>
    <x v="445"/>
    <n v="7722.1200000000044"/>
  </r>
  <r>
    <s v="PO-00447"/>
    <x v="2"/>
    <x v="67"/>
    <x v="13"/>
    <x v="3"/>
    <x v="3"/>
    <n v="865"/>
    <n v="28.79"/>
    <n v="25.69"/>
    <n v="47"/>
    <x v="0"/>
    <s v=""/>
    <n v="3.0999999999999979"/>
    <x v="446"/>
    <n v="2681.4999999999982"/>
  </r>
  <r>
    <s v="PO-00448"/>
    <x v="1"/>
    <x v="264"/>
    <x v="306"/>
    <x v="2"/>
    <x v="2"/>
    <n v="708"/>
    <n v="13.36"/>
    <n v="11.61"/>
    <m/>
    <x v="1"/>
    <n v="16"/>
    <n v="1.75"/>
    <x v="447"/>
    <n v="1239"/>
  </r>
  <r>
    <s v="PO-00449"/>
    <x v="1"/>
    <x v="328"/>
    <x v="307"/>
    <x v="2"/>
    <x v="1"/>
    <n v="1589"/>
    <n v="55.64"/>
    <n v="48.52"/>
    <m/>
    <x v="0"/>
    <n v="5"/>
    <n v="7.1199999999999974"/>
    <x v="448"/>
    <n v="11313.679999999997"/>
  </r>
  <r>
    <s v="PO-00450"/>
    <x v="0"/>
    <x v="303"/>
    <x v="308"/>
    <x v="0"/>
    <x v="1"/>
    <n v="596"/>
    <n v="62.96"/>
    <n v="61.88"/>
    <n v="9"/>
    <x v="0"/>
    <n v="10"/>
    <n v="1.0799999999999983"/>
    <x v="449"/>
    <n v="643.67999999999893"/>
  </r>
  <r>
    <s v="PO-00451"/>
    <x v="4"/>
    <x v="133"/>
    <x v="309"/>
    <x v="0"/>
    <x v="1"/>
    <n v="1265"/>
    <n v="17.66"/>
    <n v="16.97"/>
    <n v="34"/>
    <x v="0"/>
    <n v="4"/>
    <n v="0.69000000000000128"/>
    <x v="450"/>
    <n v="872.85000000000161"/>
  </r>
  <r>
    <s v="PO-00452"/>
    <x v="3"/>
    <x v="224"/>
    <x v="258"/>
    <x v="3"/>
    <x v="1"/>
    <n v="1122"/>
    <n v="82.99"/>
    <n v="81.7"/>
    <n v="118"/>
    <x v="1"/>
    <n v="18"/>
    <n v="1.289999999999992"/>
    <x v="451"/>
    <n v="1447.379999999991"/>
  </r>
  <r>
    <s v="PO-00453"/>
    <x v="4"/>
    <x v="329"/>
    <x v="111"/>
    <x v="0"/>
    <x v="1"/>
    <n v="1585"/>
    <n v="56.38"/>
    <n v="53.05"/>
    <m/>
    <x v="0"/>
    <n v="17"/>
    <n v="3.3300000000000054"/>
    <x v="452"/>
    <n v="5278.0500000000084"/>
  </r>
  <r>
    <s v="PO-00454"/>
    <x v="4"/>
    <x v="330"/>
    <x v="36"/>
    <x v="4"/>
    <x v="1"/>
    <n v="66"/>
    <n v="58.05"/>
    <n v="50.76"/>
    <m/>
    <x v="0"/>
    <n v="11"/>
    <n v="7.2899999999999991"/>
    <x v="453"/>
    <n v="481.13999999999993"/>
  </r>
  <r>
    <s v="PO-00455"/>
    <x v="3"/>
    <x v="209"/>
    <x v="310"/>
    <x v="1"/>
    <x v="1"/>
    <n v="1245"/>
    <n v="52.4"/>
    <n v="51.65"/>
    <n v="118"/>
    <x v="1"/>
    <n v="20"/>
    <n v="0.75"/>
    <x v="454"/>
    <n v="933.75"/>
  </r>
  <r>
    <s v="PO-00456"/>
    <x v="1"/>
    <x v="331"/>
    <x v="311"/>
    <x v="4"/>
    <x v="1"/>
    <n v="1293"/>
    <n v="50.21"/>
    <n v="47.55"/>
    <m/>
    <x v="1"/>
    <n v="13"/>
    <n v="2.6600000000000037"/>
    <x v="455"/>
    <n v="3439.3800000000047"/>
  </r>
  <r>
    <s v="PO-00457"/>
    <x v="3"/>
    <x v="204"/>
    <x v="222"/>
    <x v="2"/>
    <x v="1"/>
    <n v="207"/>
    <n v="64.290000000000006"/>
    <n v="63.01"/>
    <n v="25"/>
    <x v="0"/>
    <n v="6"/>
    <n v="1.2800000000000082"/>
    <x v="456"/>
    <n v="264.96000000000168"/>
  </r>
  <r>
    <s v="PO-00458"/>
    <x v="3"/>
    <x v="332"/>
    <x v="182"/>
    <x v="0"/>
    <x v="1"/>
    <n v="526"/>
    <n v="26.37"/>
    <n v="25.32"/>
    <n v="47"/>
    <x v="0"/>
    <n v="20"/>
    <n v="1.0500000000000007"/>
    <x v="457"/>
    <n v="552.30000000000041"/>
  </r>
  <r>
    <s v="PO-00459"/>
    <x v="2"/>
    <x v="244"/>
    <x v="110"/>
    <x v="4"/>
    <x v="1"/>
    <n v="1119"/>
    <n v="27.03"/>
    <n v="23.82"/>
    <m/>
    <x v="0"/>
    <n v="6"/>
    <n v="3.2100000000000009"/>
    <x v="458"/>
    <n v="3591.9900000000011"/>
  </r>
  <r>
    <s v="PO-00460"/>
    <x v="2"/>
    <x v="232"/>
    <x v="312"/>
    <x v="2"/>
    <x v="1"/>
    <n v="1446"/>
    <n v="90.63"/>
    <n v="84.51"/>
    <n v="77"/>
    <x v="0"/>
    <n v="2"/>
    <n v="6.1199999999999903"/>
    <x v="459"/>
    <n v="8849.5199999999859"/>
  </r>
  <r>
    <s v="PO-00461"/>
    <x v="2"/>
    <x v="68"/>
    <x v="125"/>
    <x v="0"/>
    <x v="1"/>
    <n v="567"/>
    <n v="97.53"/>
    <n v="85.29"/>
    <n v="21"/>
    <x v="0"/>
    <n v="8"/>
    <n v="12.239999999999995"/>
    <x v="460"/>
    <n v="6940.0799999999972"/>
  </r>
  <r>
    <s v="PO-00462"/>
    <x v="1"/>
    <x v="333"/>
    <x v="13"/>
    <x v="1"/>
    <x v="1"/>
    <n v="148"/>
    <n v="44.91"/>
    <n v="40.1"/>
    <m/>
    <x v="1"/>
    <s v=""/>
    <n v="4.8099999999999952"/>
    <x v="461"/>
    <n v="711.87999999999931"/>
  </r>
  <r>
    <s v="PO-00463"/>
    <x v="3"/>
    <x v="334"/>
    <x v="313"/>
    <x v="1"/>
    <x v="3"/>
    <n v="1965"/>
    <n v="36.6"/>
    <n v="34.64"/>
    <n v="195"/>
    <x v="0"/>
    <n v="15"/>
    <n v="1.9600000000000009"/>
    <x v="462"/>
    <n v="3851.4000000000015"/>
  </r>
  <r>
    <s v="PO-00464"/>
    <x v="0"/>
    <x v="2"/>
    <x v="314"/>
    <x v="0"/>
    <x v="3"/>
    <n v="1818"/>
    <n v="67.959999999999994"/>
    <n v="58.98"/>
    <m/>
    <x v="0"/>
    <n v="8"/>
    <n v="8.9799999999999969"/>
    <x v="463"/>
    <n v="16325.639999999994"/>
  </r>
  <r>
    <s v="PO-00465"/>
    <x v="3"/>
    <x v="335"/>
    <x v="315"/>
    <x v="1"/>
    <x v="1"/>
    <n v="1110"/>
    <n v="48.19"/>
    <n v="45.88"/>
    <n v="112"/>
    <x v="0"/>
    <n v="16"/>
    <n v="2.3099999999999952"/>
    <x v="464"/>
    <n v="2564.0999999999945"/>
  </r>
  <r>
    <s v="PO-00466"/>
    <x v="1"/>
    <x v="336"/>
    <x v="13"/>
    <x v="3"/>
    <x v="1"/>
    <n v="329"/>
    <n v="12.96"/>
    <n v="12.74"/>
    <n v="48"/>
    <x v="0"/>
    <s v=""/>
    <n v="0.22000000000000064"/>
    <x v="465"/>
    <n v="72.380000000000209"/>
  </r>
  <r>
    <s v="PO-00467"/>
    <x v="2"/>
    <x v="337"/>
    <x v="32"/>
    <x v="0"/>
    <x v="0"/>
    <n v="1422"/>
    <n v="25.62"/>
    <n v="25.18"/>
    <n v="65"/>
    <x v="0"/>
    <n v="19"/>
    <n v="0.44000000000000128"/>
    <x v="466"/>
    <n v="625.68000000000177"/>
  </r>
  <r>
    <s v="PO-00468"/>
    <x v="1"/>
    <x v="197"/>
    <x v="13"/>
    <x v="3"/>
    <x v="1"/>
    <n v="546"/>
    <n v="82.63"/>
    <n v="74.77"/>
    <n v="76"/>
    <x v="1"/>
    <s v=""/>
    <n v="7.8599999999999994"/>
    <x v="467"/>
    <n v="4291.5599999999995"/>
  </r>
  <r>
    <s v="PO-00469"/>
    <x v="2"/>
    <x v="221"/>
    <x v="116"/>
    <x v="0"/>
    <x v="2"/>
    <n v="351"/>
    <n v="72.08"/>
    <n v="71.3"/>
    <n v="20"/>
    <x v="0"/>
    <n v="10"/>
    <n v="0.78000000000000114"/>
    <x v="468"/>
    <n v="273.78000000000043"/>
  </r>
  <r>
    <s v="PO-00470"/>
    <x v="1"/>
    <x v="73"/>
    <x v="316"/>
    <x v="3"/>
    <x v="2"/>
    <n v="230"/>
    <n v="13"/>
    <n v="12.81"/>
    <m/>
    <x v="1"/>
    <n v="17"/>
    <n v="0.1899999999999995"/>
    <x v="469"/>
    <n v="43.699999999999889"/>
  </r>
  <r>
    <s v="PO-00471"/>
    <x v="0"/>
    <x v="31"/>
    <x v="233"/>
    <x v="1"/>
    <x v="1"/>
    <n v="656"/>
    <n v="30.73"/>
    <n v="26.26"/>
    <n v="17"/>
    <x v="0"/>
    <n v="6"/>
    <n v="4.4699999999999989"/>
    <x v="470"/>
    <n v="2932.3199999999993"/>
  </r>
  <r>
    <s v="PO-00472"/>
    <x v="2"/>
    <x v="24"/>
    <x v="317"/>
    <x v="1"/>
    <x v="1"/>
    <n v="1172"/>
    <n v="34.340000000000003"/>
    <n v="32.090000000000003"/>
    <n v="69"/>
    <x v="0"/>
    <n v="20"/>
    <n v="2.25"/>
    <x v="471"/>
    <n v="2637"/>
  </r>
  <r>
    <s v="PO-00473"/>
    <x v="2"/>
    <x v="338"/>
    <x v="122"/>
    <x v="4"/>
    <x v="1"/>
    <n v="749"/>
    <n v="71.53"/>
    <n v="70.02"/>
    <n v="41"/>
    <x v="0"/>
    <n v="9"/>
    <n v="1.5100000000000051"/>
    <x v="472"/>
    <n v="1130.9900000000039"/>
  </r>
  <r>
    <s v="PO-00474"/>
    <x v="3"/>
    <x v="339"/>
    <x v="318"/>
    <x v="2"/>
    <x v="1"/>
    <n v="1042"/>
    <n v="12.48"/>
    <n v="12.3"/>
    <n v="88"/>
    <x v="0"/>
    <n v="16"/>
    <n v="0.17999999999999972"/>
    <x v="473"/>
    <n v="187.55999999999972"/>
  </r>
  <r>
    <s v="PO-00475"/>
    <x v="1"/>
    <x v="340"/>
    <x v="319"/>
    <x v="3"/>
    <x v="1"/>
    <n v="1189"/>
    <n v="19.47"/>
    <n v="17.149999999999999"/>
    <m/>
    <x v="1"/>
    <n v="18"/>
    <n v="2.3200000000000003"/>
    <x v="474"/>
    <n v="2758.4800000000005"/>
  </r>
  <r>
    <s v="PO-00476"/>
    <x v="4"/>
    <x v="341"/>
    <x v="13"/>
    <x v="0"/>
    <x v="1"/>
    <n v="240"/>
    <n v="88.14"/>
    <n v="81.900000000000006"/>
    <n v="4"/>
    <x v="0"/>
    <s v=""/>
    <n v="6.2399999999999949"/>
    <x v="475"/>
    <n v="1497.5999999999988"/>
  </r>
  <r>
    <s v="PO-00477"/>
    <x v="4"/>
    <x v="342"/>
    <x v="312"/>
    <x v="1"/>
    <x v="1"/>
    <n v="302"/>
    <n v="26.98"/>
    <n v="26.47"/>
    <n v="9"/>
    <x v="0"/>
    <n v="17"/>
    <n v="0.51000000000000156"/>
    <x v="476"/>
    <n v="154.02000000000046"/>
  </r>
  <r>
    <s v="PO-00478"/>
    <x v="3"/>
    <x v="343"/>
    <x v="234"/>
    <x v="1"/>
    <x v="3"/>
    <n v="1030"/>
    <n v="70.81"/>
    <n v="61.58"/>
    <m/>
    <x v="1"/>
    <n v="10"/>
    <n v="9.230000000000004"/>
    <x v="477"/>
    <n v="9506.9000000000033"/>
  </r>
  <r>
    <s v="PO-00479"/>
    <x v="1"/>
    <x v="344"/>
    <x v="320"/>
    <x v="0"/>
    <x v="1"/>
    <n v="977"/>
    <n v="33.79"/>
    <n v="32.25"/>
    <n v="137"/>
    <x v="0"/>
    <n v="6"/>
    <n v="1.5399999999999991"/>
    <x v="478"/>
    <n v="1504.5799999999992"/>
  </r>
  <r>
    <s v="PO-00480"/>
    <x v="0"/>
    <x v="345"/>
    <x v="321"/>
    <x v="2"/>
    <x v="1"/>
    <n v="1234"/>
    <n v="19.989999999999998"/>
    <n v="17.66"/>
    <n v="25"/>
    <x v="0"/>
    <n v="17"/>
    <n v="2.3299999999999983"/>
    <x v="479"/>
    <n v="2875.219999999998"/>
  </r>
  <r>
    <s v="PO-00481"/>
    <x v="3"/>
    <x v="346"/>
    <x v="322"/>
    <x v="0"/>
    <x v="1"/>
    <n v="1329"/>
    <n v="33.479999999999997"/>
    <n v="33.06"/>
    <n v="146"/>
    <x v="0"/>
    <n v="14"/>
    <n v="0.4199999999999946"/>
    <x v="480"/>
    <n v="558.17999999999279"/>
  </r>
  <r>
    <s v="PO-00482"/>
    <x v="2"/>
    <x v="61"/>
    <x v="323"/>
    <x v="3"/>
    <x v="1"/>
    <n v="1396"/>
    <n v="77.63"/>
    <n v="67.81"/>
    <n v="58"/>
    <x v="0"/>
    <n v="8"/>
    <n v="9.8199999999999932"/>
    <x v="481"/>
    <n v="13708.71999999999"/>
  </r>
  <r>
    <s v="PO-00483"/>
    <x v="0"/>
    <x v="5"/>
    <x v="5"/>
    <x v="3"/>
    <x v="1"/>
    <n v="177"/>
    <n v="90.06"/>
    <n v="87.71"/>
    <n v="7"/>
    <x v="0"/>
    <n v="12"/>
    <n v="2.3500000000000085"/>
    <x v="482"/>
    <n v="415.95000000000152"/>
  </r>
  <r>
    <s v="PO-00484"/>
    <x v="1"/>
    <x v="347"/>
    <x v="13"/>
    <x v="4"/>
    <x v="1"/>
    <n v="67"/>
    <n v="84.72"/>
    <n v="73.06"/>
    <n v="9"/>
    <x v="0"/>
    <s v=""/>
    <n v="11.659999999999997"/>
    <x v="483"/>
    <n v="781.2199999999998"/>
  </r>
  <r>
    <s v="PO-00485"/>
    <x v="2"/>
    <x v="164"/>
    <x v="277"/>
    <x v="0"/>
    <x v="1"/>
    <n v="1866"/>
    <n v="50.78"/>
    <n v="48.2"/>
    <n v="96"/>
    <x v="0"/>
    <n v="13"/>
    <n v="2.5799999999999983"/>
    <x v="484"/>
    <n v="4814.279999999997"/>
  </r>
  <r>
    <s v="PO-00486"/>
    <x v="4"/>
    <x v="348"/>
    <x v="324"/>
    <x v="1"/>
    <x v="1"/>
    <n v="1808"/>
    <n v="72.23"/>
    <n v="67.86"/>
    <n v="53"/>
    <x v="0"/>
    <n v="8"/>
    <n v="4.3700000000000045"/>
    <x v="485"/>
    <n v="7900.9600000000082"/>
  </r>
  <r>
    <s v="PO-00487"/>
    <x v="1"/>
    <x v="113"/>
    <x v="325"/>
    <x v="4"/>
    <x v="0"/>
    <n v="615"/>
    <n v="30.3"/>
    <n v="29.52"/>
    <n v="96"/>
    <x v="0"/>
    <n v="3"/>
    <n v="0.78000000000000114"/>
    <x v="486"/>
    <n v="479.70000000000073"/>
  </r>
  <r>
    <s v="PO-00488"/>
    <x v="2"/>
    <x v="349"/>
    <x v="326"/>
    <x v="0"/>
    <x v="3"/>
    <n v="619"/>
    <n v="38.380000000000003"/>
    <n v="35.020000000000003"/>
    <n v="34"/>
    <x v="0"/>
    <n v="1"/>
    <n v="3.3599999999999994"/>
    <x v="487"/>
    <n v="2079.8399999999997"/>
  </r>
  <r>
    <s v="PO-00489"/>
    <x v="1"/>
    <x v="196"/>
    <x v="327"/>
    <x v="0"/>
    <x v="1"/>
    <n v="1396"/>
    <n v="94.75"/>
    <n v="84.06"/>
    <n v="210"/>
    <x v="0"/>
    <n v="4"/>
    <n v="10.689999999999998"/>
    <x v="488"/>
    <n v="14923.239999999996"/>
  </r>
  <r>
    <s v="PO-00490"/>
    <x v="2"/>
    <x v="58"/>
    <x v="328"/>
    <x v="1"/>
    <x v="1"/>
    <n v="1945"/>
    <n v="11.28"/>
    <n v="9.98"/>
    <n v="94"/>
    <x v="0"/>
    <n v="11"/>
    <n v="1.2999999999999989"/>
    <x v="489"/>
    <n v="2528.4999999999977"/>
  </r>
  <r>
    <s v="PO-00491"/>
    <x v="1"/>
    <x v="196"/>
    <x v="316"/>
    <x v="2"/>
    <x v="1"/>
    <n v="735"/>
    <n v="18.489999999999998"/>
    <n v="15.89"/>
    <n v="113"/>
    <x v="1"/>
    <n v="5"/>
    <n v="2.5999999999999979"/>
    <x v="490"/>
    <n v="1910.9999999999984"/>
  </r>
  <r>
    <s v="PO-00492"/>
    <x v="4"/>
    <x v="350"/>
    <x v="321"/>
    <x v="0"/>
    <x v="3"/>
    <n v="1865"/>
    <n v="30.29"/>
    <n v="26.83"/>
    <n v="56"/>
    <x v="0"/>
    <n v="16"/>
    <n v="3.4600000000000009"/>
    <x v="491"/>
    <n v="6452.9000000000015"/>
  </r>
  <r>
    <s v="PO-00493"/>
    <x v="3"/>
    <x v="134"/>
    <x v="329"/>
    <x v="4"/>
    <x v="0"/>
    <n v="675"/>
    <n v="13.69"/>
    <n v="11.84"/>
    <n v="52"/>
    <x v="0"/>
    <n v="5"/>
    <n v="1.8499999999999996"/>
    <x v="492"/>
    <n v="1248.7499999999998"/>
  </r>
  <r>
    <s v="PO-00494"/>
    <x v="2"/>
    <x v="115"/>
    <x v="104"/>
    <x v="1"/>
    <x v="3"/>
    <n v="1361"/>
    <n v="28.57"/>
    <n v="24.29"/>
    <n v="65"/>
    <x v="0"/>
    <n v="16"/>
    <n v="4.2800000000000011"/>
    <x v="493"/>
    <n v="5825.0800000000017"/>
  </r>
  <r>
    <s v="PO-00495"/>
    <x v="2"/>
    <x v="351"/>
    <x v="330"/>
    <x v="3"/>
    <x v="1"/>
    <n v="903"/>
    <n v="66.53"/>
    <n v="60.15"/>
    <n v="29"/>
    <x v="0"/>
    <n v="1"/>
    <n v="6.3800000000000026"/>
    <x v="494"/>
    <n v="5761.1400000000021"/>
  </r>
  <r>
    <s v="PO-00496"/>
    <x v="4"/>
    <x v="352"/>
    <x v="13"/>
    <x v="2"/>
    <x v="0"/>
    <n v="1736"/>
    <n v="53.2"/>
    <n v="50.68"/>
    <n v="48"/>
    <x v="0"/>
    <s v=""/>
    <n v="2.5200000000000031"/>
    <x v="495"/>
    <n v="4374.7200000000057"/>
  </r>
  <r>
    <s v="PO-00497"/>
    <x v="3"/>
    <x v="46"/>
    <x v="331"/>
    <x v="1"/>
    <x v="1"/>
    <n v="1011"/>
    <n v="98.47"/>
    <n v="97.06"/>
    <n v="91"/>
    <x v="0"/>
    <n v="7"/>
    <n v="1.4099999999999966"/>
    <x v="496"/>
    <n v="1425.5099999999966"/>
  </r>
  <r>
    <s v="PO-00498"/>
    <x v="1"/>
    <x v="353"/>
    <x v="332"/>
    <x v="4"/>
    <x v="1"/>
    <n v="1712"/>
    <n v="88.17"/>
    <n v="85.86"/>
    <n v="246"/>
    <x v="0"/>
    <n v="18"/>
    <n v="2.3100000000000023"/>
    <x v="497"/>
    <n v="3954.7200000000039"/>
  </r>
  <r>
    <s v="PO-00499"/>
    <x v="2"/>
    <x v="354"/>
    <x v="13"/>
    <x v="0"/>
    <x v="1"/>
    <n v="204"/>
    <n v="40.76"/>
    <n v="37.46"/>
    <n v="10"/>
    <x v="0"/>
    <s v=""/>
    <n v="3.2999999999999972"/>
    <x v="498"/>
    <n v="673.19999999999936"/>
  </r>
  <r>
    <s v="PO-00500"/>
    <x v="3"/>
    <x v="298"/>
    <x v="333"/>
    <x v="4"/>
    <x v="2"/>
    <n v="539"/>
    <n v="33.85"/>
    <n v="30.57"/>
    <n v="34"/>
    <x v="1"/>
    <n v="14"/>
    <n v="3.2800000000000011"/>
    <x v="499"/>
    <n v="1767.9200000000005"/>
  </r>
  <r>
    <s v="PO-00501"/>
    <x v="1"/>
    <x v="270"/>
    <x v="128"/>
    <x v="0"/>
    <x v="1"/>
    <n v="1459"/>
    <n v="45.94"/>
    <n v="42.56"/>
    <n v="212"/>
    <x v="1"/>
    <n v="10"/>
    <n v="3.3799999999999955"/>
    <x v="500"/>
    <n v="4931.4199999999937"/>
  </r>
  <r>
    <s v="PO-00502"/>
    <x v="2"/>
    <x v="139"/>
    <x v="75"/>
    <x v="1"/>
    <x v="1"/>
    <n v="834"/>
    <n v="65.02"/>
    <n v="56.19"/>
    <m/>
    <x v="0"/>
    <n v="4"/>
    <n v="8.8299999999999983"/>
    <x v="501"/>
    <n v="7364.2199999999984"/>
  </r>
  <r>
    <s v="PO-00503"/>
    <x v="2"/>
    <x v="355"/>
    <x v="334"/>
    <x v="2"/>
    <x v="2"/>
    <n v="1177"/>
    <n v="37.369999999999997"/>
    <n v="34.270000000000003"/>
    <n v="60"/>
    <x v="0"/>
    <n v="14"/>
    <n v="3.0999999999999943"/>
    <x v="502"/>
    <n v="3648.6999999999935"/>
  </r>
  <r>
    <s v="PO-00504"/>
    <x v="1"/>
    <x v="106"/>
    <x v="335"/>
    <x v="1"/>
    <x v="1"/>
    <n v="1466"/>
    <n v="68.819999999999993"/>
    <n v="66.819999999999993"/>
    <n v="211"/>
    <x v="0"/>
    <n v="20"/>
    <n v="2"/>
    <x v="503"/>
    <n v="2932"/>
  </r>
  <r>
    <s v="PO-00505"/>
    <x v="4"/>
    <x v="340"/>
    <x v="183"/>
    <x v="4"/>
    <x v="1"/>
    <n v="1884"/>
    <n v="47.08"/>
    <n v="44.31"/>
    <n v="54"/>
    <x v="0"/>
    <n v="4"/>
    <n v="2.769999999999996"/>
    <x v="504"/>
    <n v="5218.6799999999921"/>
  </r>
  <r>
    <s v="PO-00506"/>
    <x v="3"/>
    <x v="220"/>
    <x v="336"/>
    <x v="4"/>
    <x v="1"/>
    <n v="295"/>
    <n v="60.58"/>
    <n v="57.32"/>
    <n v="31"/>
    <x v="0"/>
    <n v="16"/>
    <n v="3.259999999999998"/>
    <x v="505"/>
    <n v="961.69999999999936"/>
  </r>
  <r>
    <s v="PO-00507"/>
    <x v="2"/>
    <x v="123"/>
    <x v="236"/>
    <x v="3"/>
    <x v="1"/>
    <n v="1249"/>
    <n v="54.18"/>
    <n v="47.29"/>
    <n v="59"/>
    <x v="0"/>
    <n v="1"/>
    <n v="6.8900000000000006"/>
    <x v="506"/>
    <n v="8605.61"/>
  </r>
  <r>
    <s v="PO-00508"/>
    <x v="1"/>
    <x v="356"/>
    <x v="124"/>
    <x v="3"/>
    <x v="1"/>
    <n v="1112"/>
    <n v="39.06"/>
    <n v="33.6"/>
    <n v="184"/>
    <x v="1"/>
    <n v="19"/>
    <n v="5.4600000000000009"/>
    <x v="507"/>
    <n v="6071.5200000000013"/>
  </r>
  <r>
    <s v="PO-00509"/>
    <x v="2"/>
    <x v="357"/>
    <x v="337"/>
    <x v="0"/>
    <x v="1"/>
    <n v="1550"/>
    <n v="100.61"/>
    <n v="97.43"/>
    <n v="66"/>
    <x v="0"/>
    <n v="5"/>
    <n v="3.1799999999999926"/>
    <x v="508"/>
    <n v="4928.9999999999882"/>
  </r>
  <r>
    <s v="PO-00510"/>
    <x v="1"/>
    <x v="249"/>
    <x v="338"/>
    <x v="4"/>
    <x v="1"/>
    <n v="1755"/>
    <n v="82.66"/>
    <n v="73.67"/>
    <n v="258"/>
    <x v="1"/>
    <n v="1"/>
    <n v="8.9899999999999949"/>
    <x v="509"/>
    <n v="15777.449999999992"/>
  </r>
  <r>
    <s v="PO-00511"/>
    <x v="2"/>
    <x v="358"/>
    <x v="339"/>
    <x v="3"/>
    <x v="1"/>
    <n v="808"/>
    <n v="24.19"/>
    <n v="21.64"/>
    <n v="39"/>
    <x v="0"/>
    <n v="8"/>
    <n v="2.5500000000000007"/>
    <x v="510"/>
    <n v="2060.4000000000005"/>
  </r>
  <r>
    <s v="PO-00512"/>
    <x v="0"/>
    <x v="359"/>
    <x v="115"/>
    <x v="3"/>
    <x v="2"/>
    <n v="587"/>
    <n v="96.98"/>
    <n v="95.35"/>
    <n v="14"/>
    <x v="0"/>
    <n v="6"/>
    <n v="1.6300000000000097"/>
    <x v="511"/>
    <n v="956.81000000000563"/>
  </r>
  <r>
    <s v="PO-00513"/>
    <x v="4"/>
    <x v="360"/>
    <x v="92"/>
    <x v="1"/>
    <x v="1"/>
    <n v="1940"/>
    <n v="58.45"/>
    <n v="50.29"/>
    <n v="54"/>
    <x v="0"/>
    <n v="3"/>
    <n v="8.1600000000000037"/>
    <x v="512"/>
    <n v="15830.400000000007"/>
  </r>
  <r>
    <s v="PO-00514"/>
    <x v="3"/>
    <x v="298"/>
    <x v="340"/>
    <x v="0"/>
    <x v="0"/>
    <n v="1891"/>
    <n v="91.87"/>
    <n v="80.28"/>
    <n v="158"/>
    <x v="0"/>
    <n v="12"/>
    <n v="11.590000000000003"/>
    <x v="513"/>
    <n v="21916.690000000006"/>
  </r>
  <r>
    <s v="PO-00515"/>
    <x v="4"/>
    <x v="125"/>
    <x v="325"/>
    <x v="2"/>
    <x v="1"/>
    <n v="970"/>
    <n v="86.91"/>
    <n v="78.44"/>
    <n v="18"/>
    <x v="0"/>
    <n v="17"/>
    <n v="8.4699999999999989"/>
    <x v="514"/>
    <n v="8215.9"/>
  </r>
  <r>
    <s v="PO-00516"/>
    <x v="4"/>
    <x v="201"/>
    <x v="341"/>
    <x v="1"/>
    <x v="1"/>
    <n v="457"/>
    <n v="52.85"/>
    <n v="50.34"/>
    <n v="16"/>
    <x v="0"/>
    <n v="17"/>
    <n v="2.509999999999998"/>
    <x v="515"/>
    <n v="1147.069999999999"/>
  </r>
  <r>
    <s v="PO-00517"/>
    <x v="3"/>
    <x v="205"/>
    <x v="342"/>
    <x v="0"/>
    <x v="0"/>
    <n v="574"/>
    <n v="12.38"/>
    <n v="11.47"/>
    <m/>
    <x v="1"/>
    <n v="13"/>
    <n v="0.91000000000000014"/>
    <x v="516"/>
    <n v="522.34"/>
  </r>
  <r>
    <s v="PO-00518"/>
    <x v="4"/>
    <x v="361"/>
    <x v="4"/>
    <x v="0"/>
    <x v="1"/>
    <n v="877"/>
    <n v="35.549999999999997"/>
    <n v="34.69"/>
    <n v="24"/>
    <x v="0"/>
    <n v="2"/>
    <n v="0.85999999999999943"/>
    <x v="517"/>
    <n v="754.21999999999946"/>
  </r>
  <r>
    <s v="PO-00519"/>
    <x v="0"/>
    <x v="310"/>
    <x v="319"/>
    <x v="1"/>
    <x v="1"/>
    <n v="1579"/>
    <n v="59.04"/>
    <n v="50.95"/>
    <n v="29"/>
    <x v="0"/>
    <n v="12"/>
    <n v="8.0899999999999963"/>
    <x v="518"/>
    <n v="12774.109999999993"/>
  </r>
  <r>
    <s v="PO-00520"/>
    <x v="1"/>
    <x v="362"/>
    <x v="343"/>
    <x v="3"/>
    <x v="1"/>
    <n v="952"/>
    <n v="74.72"/>
    <n v="69.73"/>
    <m/>
    <x v="0"/>
    <n v="1"/>
    <n v="4.9899999999999949"/>
    <x v="519"/>
    <n v="4750.479999999995"/>
  </r>
  <r>
    <s v="PO-00521"/>
    <x v="3"/>
    <x v="358"/>
    <x v="12"/>
    <x v="3"/>
    <x v="3"/>
    <n v="1898"/>
    <n v="35.53"/>
    <n v="33.25"/>
    <n v="187"/>
    <x v="0"/>
    <n v="3"/>
    <n v="2.2800000000000011"/>
    <x v="520"/>
    <n v="4327.4400000000023"/>
  </r>
  <r>
    <s v="PO-00522"/>
    <x v="1"/>
    <x v="363"/>
    <x v="295"/>
    <x v="2"/>
    <x v="1"/>
    <n v="85"/>
    <n v="22.54"/>
    <n v="20.68"/>
    <n v="6"/>
    <x v="0"/>
    <n v="4"/>
    <n v="1.8599999999999994"/>
    <x v="521"/>
    <n v="158.09999999999997"/>
  </r>
  <r>
    <s v="PO-00523"/>
    <x v="2"/>
    <x v="364"/>
    <x v="344"/>
    <x v="2"/>
    <x v="3"/>
    <n v="734"/>
    <n v="92.38"/>
    <n v="78.92"/>
    <n v="34"/>
    <x v="1"/>
    <n v="11"/>
    <n v="13.459999999999994"/>
    <x v="522"/>
    <n v="9879.6399999999958"/>
  </r>
  <r>
    <s v="PO-00524"/>
    <x v="0"/>
    <x v="108"/>
    <x v="140"/>
    <x v="0"/>
    <x v="1"/>
    <n v="69"/>
    <n v="107.47"/>
    <n v="105.53"/>
    <m/>
    <x v="0"/>
    <n v="12"/>
    <n v="1.9399999999999977"/>
    <x v="523"/>
    <n v="133.85999999999984"/>
  </r>
  <r>
    <s v="PO-00525"/>
    <x v="1"/>
    <x v="306"/>
    <x v="345"/>
    <x v="2"/>
    <x v="1"/>
    <n v="370"/>
    <n v="63.9"/>
    <n v="55.79"/>
    <n v="59"/>
    <x v="0"/>
    <n v="6"/>
    <n v="8.11"/>
    <x v="524"/>
    <n v="3000.7"/>
  </r>
  <r>
    <s v="PO-00526"/>
    <x v="1"/>
    <x v="72"/>
    <x v="260"/>
    <x v="1"/>
    <x v="1"/>
    <n v="1849"/>
    <n v="28.25"/>
    <n v="27.53"/>
    <n v="271"/>
    <x v="0"/>
    <n v="15"/>
    <n v="0.71999999999999886"/>
    <x v="525"/>
    <n v="1331.2799999999979"/>
  </r>
  <r>
    <s v="PO-00527"/>
    <x v="3"/>
    <x v="365"/>
    <x v="13"/>
    <x v="2"/>
    <x v="1"/>
    <n v="561"/>
    <n v="35.54"/>
    <n v="30.99"/>
    <n v="68"/>
    <x v="1"/>
    <s v=""/>
    <n v="4.5500000000000007"/>
    <x v="526"/>
    <n v="2552.5500000000002"/>
  </r>
  <r>
    <s v="PO-00528"/>
    <x v="2"/>
    <x v="366"/>
    <x v="196"/>
    <x v="4"/>
    <x v="1"/>
    <n v="449"/>
    <n v="12.35"/>
    <n v="10.67"/>
    <n v="29"/>
    <x v="0"/>
    <n v="6"/>
    <n v="1.6799999999999997"/>
    <x v="527"/>
    <n v="754.31999999999982"/>
  </r>
  <r>
    <s v="PO-00529"/>
    <x v="3"/>
    <x v="208"/>
    <x v="346"/>
    <x v="0"/>
    <x v="1"/>
    <n v="703"/>
    <n v="98.75"/>
    <n v="86.78"/>
    <n v="59"/>
    <x v="0"/>
    <n v="3"/>
    <n v="11.969999999999999"/>
    <x v="528"/>
    <n v="8414.91"/>
  </r>
  <r>
    <s v="PO-00530"/>
    <x v="2"/>
    <x v="58"/>
    <x v="45"/>
    <x v="4"/>
    <x v="1"/>
    <n v="1021"/>
    <n v="20.8"/>
    <n v="18.23"/>
    <n v="37"/>
    <x v="0"/>
    <n v="15"/>
    <n v="2.5700000000000003"/>
    <x v="529"/>
    <n v="2623.9700000000003"/>
  </r>
  <r>
    <s v="PO-00531"/>
    <x v="3"/>
    <x v="367"/>
    <x v="347"/>
    <x v="0"/>
    <x v="1"/>
    <n v="1956"/>
    <n v="68.69"/>
    <n v="65.09"/>
    <m/>
    <x v="0"/>
    <n v="7"/>
    <n v="3.5999999999999943"/>
    <x v="530"/>
    <n v="7041.5999999999885"/>
  </r>
  <r>
    <s v="PO-00532"/>
    <x v="1"/>
    <x v="193"/>
    <x v="348"/>
    <x v="0"/>
    <x v="2"/>
    <n v="520"/>
    <n v="36.57"/>
    <n v="34.78"/>
    <n v="67"/>
    <x v="1"/>
    <n v="7"/>
    <n v="1.7899999999999991"/>
    <x v="531"/>
    <n v="930.7999999999995"/>
  </r>
  <r>
    <s v="PO-00533"/>
    <x v="1"/>
    <x v="368"/>
    <x v="349"/>
    <x v="1"/>
    <x v="1"/>
    <n v="1216"/>
    <n v="66.16"/>
    <n v="63"/>
    <n v="179"/>
    <x v="1"/>
    <n v="11"/>
    <n v="3.1599999999999966"/>
    <x v="532"/>
    <n v="3842.5599999999959"/>
  </r>
  <r>
    <s v="PO-00534"/>
    <x v="0"/>
    <x v="249"/>
    <x v="13"/>
    <x v="3"/>
    <x v="1"/>
    <n v="1165"/>
    <n v="72.06"/>
    <n v="63.93"/>
    <m/>
    <x v="0"/>
    <s v=""/>
    <n v="8.1300000000000026"/>
    <x v="533"/>
    <n v="9471.4500000000025"/>
  </r>
  <r>
    <s v="PO-00535"/>
    <x v="1"/>
    <x v="295"/>
    <x v="166"/>
    <x v="2"/>
    <x v="3"/>
    <n v="1427"/>
    <n v="93.99"/>
    <n v="83.6"/>
    <n v="213"/>
    <x v="0"/>
    <n v="18"/>
    <n v="10.39"/>
    <x v="534"/>
    <n v="14826.53"/>
  </r>
  <r>
    <s v="PO-00536"/>
    <x v="4"/>
    <x v="47"/>
    <x v="350"/>
    <x v="4"/>
    <x v="1"/>
    <n v="883"/>
    <n v="29.15"/>
    <n v="25.75"/>
    <n v="14"/>
    <x v="0"/>
    <n v="2"/>
    <n v="3.3999999999999986"/>
    <x v="535"/>
    <n v="3002.1999999999989"/>
  </r>
  <r>
    <s v="PO-00537"/>
    <x v="1"/>
    <x v="275"/>
    <x v="261"/>
    <x v="2"/>
    <x v="2"/>
    <n v="1873"/>
    <n v="11.54"/>
    <n v="9.89"/>
    <n v="284"/>
    <x v="1"/>
    <n v="7"/>
    <n v="1.6499999999999986"/>
    <x v="536"/>
    <n v="3090.4499999999975"/>
  </r>
  <r>
    <s v="PO-00538"/>
    <x v="4"/>
    <x v="140"/>
    <x v="351"/>
    <x v="0"/>
    <x v="1"/>
    <n v="776"/>
    <n v="24.22"/>
    <n v="22.53"/>
    <n v="27"/>
    <x v="0"/>
    <n v="2"/>
    <n v="1.6899999999999977"/>
    <x v="537"/>
    <n v="1311.4399999999982"/>
  </r>
  <r>
    <s v="PO-00539"/>
    <x v="1"/>
    <x v="369"/>
    <x v="263"/>
    <x v="4"/>
    <x v="1"/>
    <n v="903"/>
    <n v="95.55"/>
    <n v="92.45"/>
    <n v="149"/>
    <x v="1"/>
    <n v="11"/>
    <n v="3.0999999999999943"/>
    <x v="538"/>
    <n v="2799.2999999999947"/>
  </r>
  <r>
    <s v="PO-00540"/>
    <x v="4"/>
    <x v="329"/>
    <x v="156"/>
    <x v="4"/>
    <x v="1"/>
    <n v="100"/>
    <n v="98.4"/>
    <n v="85.76"/>
    <n v="3"/>
    <x v="0"/>
    <n v="12"/>
    <n v="12.64"/>
    <x v="539"/>
    <n v="1264"/>
  </r>
  <r>
    <s v="PO-00541"/>
    <x v="4"/>
    <x v="370"/>
    <x v="352"/>
    <x v="0"/>
    <x v="1"/>
    <n v="1738"/>
    <n v="67.91"/>
    <n v="61.15"/>
    <m/>
    <x v="0"/>
    <n v="13"/>
    <n v="6.759999999999998"/>
    <x v="540"/>
    <n v="11748.879999999997"/>
  </r>
  <r>
    <s v="PO-00542"/>
    <x v="1"/>
    <x v="371"/>
    <x v="82"/>
    <x v="2"/>
    <x v="1"/>
    <n v="1771"/>
    <n v="67.569999999999993"/>
    <n v="61.48"/>
    <n v="280"/>
    <x v="1"/>
    <n v="13"/>
    <n v="6.0899999999999963"/>
    <x v="541"/>
    <n v="10785.389999999994"/>
  </r>
  <r>
    <s v="PO-00543"/>
    <x v="4"/>
    <x v="218"/>
    <x v="353"/>
    <x v="4"/>
    <x v="1"/>
    <n v="624"/>
    <n v="74.39"/>
    <n v="66.3"/>
    <n v="18"/>
    <x v="1"/>
    <n v="6"/>
    <n v="8.0900000000000034"/>
    <x v="542"/>
    <n v="5048.1600000000017"/>
  </r>
  <r>
    <s v="PO-00544"/>
    <x v="0"/>
    <x v="241"/>
    <x v="354"/>
    <x v="2"/>
    <x v="2"/>
    <n v="1263"/>
    <n v="28.75"/>
    <n v="27.1"/>
    <n v="26"/>
    <x v="0"/>
    <n v="16"/>
    <n v="1.6499999999999986"/>
    <x v="543"/>
    <n v="2083.949999999998"/>
  </r>
  <r>
    <s v="PO-00545"/>
    <x v="2"/>
    <x v="372"/>
    <x v="355"/>
    <x v="4"/>
    <x v="0"/>
    <n v="1198"/>
    <n v="96.45"/>
    <n v="90.09"/>
    <m/>
    <x v="0"/>
    <n v="17"/>
    <n v="6.3599999999999994"/>
    <x v="544"/>
    <n v="7619.28"/>
  </r>
  <r>
    <s v="PO-00546"/>
    <x v="4"/>
    <x v="185"/>
    <x v="9"/>
    <x v="3"/>
    <x v="1"/>
    <n v="199"/>
    <n v="51.98"/>
    <n v="45.64"/>
    <m/>
    <x v="1"/>
    <n v="3"/>
    <n v="6.3399999999999963"/>
    <x v="545"/>
    <n v="1261.6599999999992"/>
  </r>
  <r>
    <s v="PO-00547"/>
    <x v="4"/>
    <x v="325"/>
    <x v="170"/>
    <x v="1"/>
    <x v="3"/>
    <n v="363"/>
    <n v="45.37"/>
    <n v="38.729999999999997"/>
    <m/>
    <x v="0"/>
    <n v="3"/>
    <n v="6.6400000000000006"/>
    <x v="546"/>
    <n v="2410.3200000000002"/>
  </r>
  <r>
    <s v="PO-00548"/>
    <x v="0"/>
    <x v="56"/>
    <x v="356"/>
    <x v="0"/>
    <x v="1"/>
    <n v="619"/>
    <n v="58.4"/>
    <n v="51.04"/>
    <m/>
    <x v="0"/>
    <n v="6"/>
    <n v="7.3599999999999994"/>
    <x v="547"/>
    <n v="4555.8399999999992"/>
  </r>
  <r>
    <s v="PO-00549"/>
    <x v="0"/>
    <x v="373"/>
    <x v="197"/>
    <x v="1"/>
    <x v="1"/>
    <n v="1415"/>
    <n v="15.22"/>
    <n v="13.56"/>
    <n v="30"/>
    <x v="0"/>
    <n v="11"/>
    <n v="1.6600000000000001"/>
    <x v="548"/>
    <n v="2348.9"/>
  </r>
  <r>
    <s v="PO-00550"/>
    <x v="3"/>
    <x v="367"/>
    <x v="256"/>
    <x v="2"/>
    <x v="1"/>
    <n v="354"/>
    <n v="27.71"/>
    <n v="23.87"/>
    <n v="39"/>
    <x v="1"/>
    <n v="11"/>
    <n v="3.84"/>
    <x v="549"/>
    <n v="1359.36"/>
  </r>
  <r>
    <s v="PO-00551"/>
    <x v="2"/>
    <x v="82"/>
    <x v="357"/>
    <x v="1"/>
    <x v="1"/>
    <n v="1765"/>
    <n v="81.010000000000005"/>
    <n v="78.430000000000007"/>
    <n v="78"/>
    <x v="0"/>
    <n v="10"/>
    <n v="2.5799999999999983"/>
    <x v="550"/>
    <n v="4553.6999999999971"/>
  </r>
  <r>
    <s v="PO-00552"/>
    <x v="3"/>
    <x v="374"/>
    <x v="79"/>
    <x v="1"/>
    <x v="1"/>
    <n v="731"/>
    <n v="19.37"/>
    <n v="17.3"/>
    <n v="69"/>
    <x v="1"/>
    <n v="14"/>
    <n v="2.0700000000000003"/>
    <x v="551"/>
    <n v="1513.1700000000003"/>
  </r>
  <r>
    <s v="PO-00553"/>
    <x v="4"/>
    <x v="375"/>
    <x v="358"/>
    <x v="1"/>
    <x v="1"/>
    <n v="887"/>
    <n v="65.89"/>
    <n v="59.67"/>
    <n v="29"/>
    <x v="0"/>
    <n v="15"/>
    <n v="6.2199999999999989"/>
    <x v="552"/>
    <n v="5517.1399999999994"/>
  </r>
  <r>
    <s v="PO-00554"/>
    <x v="0"/>
    <x v="376"/>
    <x v="359"/>
    <x v="1"/>
    <x v="1"/>
    <n v="1856"/>
    <n v="35.29"/>
    <n v="32.409999999999997"/>
    <n v="26"/>
    <x v="0"/>
    <n v="2"/>
    <n v="2.8800000000000026"/>
    <x v="553"/>
    <n v="5345.2800000000043"/>
  </r>
  <r>
    <s v="PO-00555"/>
    <x v="4"/>
    <x v="377"/>
    <x v="360"/>
    <x v="0"/>
    <x v="1"/>
    <n v="1127"/>
    <n v="49.32"/>
    <n v="46.49"/>
    <n v="30"/>
    <x v="0"/>
    <n v="12"/>
    <n v="2.8299999999999983"/>
    <x v="554"/>
    <n v="3189.409999999998"/>
  </r>
  <r>
    <s v="PO-00556"/>
    <x v="1"/>
    <x v="378"/>
    <x v="338"/>
    <x v="3"/>
    <x v="1"/>
    <n v="1052"/>
    <n v="37.78"/>
    <n v="32.6"/>
    <n v="162"/>
    <x v="0"/>
    <n v="14"/>
    <n v="5.18"/>
    <x v="555"/>
    <n v="5449.36"/>
  </r>
  <r>
    <s v="PO-00557"/>
    <x v="2"/>
    <x v="379"/>
    <x v="218"/>
    <x v="3"/>
    <x v="1"/>
    <n v="493"/>
    <n v="44.74"/>
    <n v="41.44"/>
    <n v="24"/>
    <x v="1"/>
    <n v="2"/>
    <n v="3.3000000000000043"/>
    <x v="556"/>
    <n v="1626.9000000000021"/>
  </r>
  <r>
    <s v="PO-00558"/>
    <x v="1"/>
    <x v="380"/>
    <x v="230"/>
    <x v="1"/>
    <x v="2"/>
    <n v="662"/>
    <n v="81.44"/>
    <n v="71.33"/>
    <n v="87"/>
    <x v="0"/>
    <n v="13"/>
    <n v="10.11"/>
    <x v="557"/>
    <n v="6692.82"/>
  </r>
  <r>
    <s v="PO-00559"/>
    <x v="0"/>
    <x v="148"/>
    <x v="361"/>
    <x v="3"/>
    <x v="1"/>
    <n v="1042"/>
    <n v="36.74"/>
    <n v="35.78"/>
    <n v="33"/>
    <x v="0"/>
    <n v="6"/>
    <n v="0.96000000000000085"/>
    <x v="558"/>
    <n v="1000.3200000000008"/>
  </r>
  <r>
    <s v="PO-00560"/>
    <x v="0"/>
    <x v="381"/>
    <x v="13"/>
    <x v="3"/>
    <x v="1"/>
    <n v="313"/>
    <n v="64.03"/>
    <n v="57.74"/>
    <n v="1"/>
    <x v="0"/>
    <s v=""/>
    <n v="6.2899999999999991"/>
    <x v="559"/>
    <n v="1968.7699999999998"/>
  </r>
  <r>
    <s v="PO-00561"/>
    <x v="0"/>
    <x v="382"/>
    <x v="362"/>
    <x v="0"/>
    <x v="1"/>
    <n v="1126"/>
    <n v="55.22"/>
    <n v="50.38"/>
    <m/>
    <x v="0"/>
    <n v="20"/>
    <n v="4.8399999999999963"/>
    <x v="560"/>
    <n v="5449.8399999999956"/>
  </r>
  <r>
    <s v="PO-00562"/>
    <x v="2"/>
    <x v="303"/>
    <x v="363"/>
    <x v="1"/>
    <x v="1"/>
    <n v="1645"/>
    <n v="72.17"/>
    <n v="64"/>
    <n v="79"/>
    <x v="0"/>
    <n v="15"/>
    <n v="8.1700000000000017"/>
    <x v="561"/>
    <n v="13439.650000000003"/>
  </r>
  <r>
    <s v="PO-00563"/>
    <x v="3"/>
    <x v="324"/>
    <x v="364"/>
    <x v="2"/>
    <x v="1"/>
    <n v="1053"/>
    <n v="100.92"/>
    <n v="92.35"/>
    <n v="104"/>
    <x v="0"/>
    <n v="3"/>
    <n v="8.5700000000000074"/>
    <x v="562"/>
    <n v="9024.2100000000082"/>
  </r>
  <r>
    <s v="PO-00564"/>
    <x v="4"/>
    <x v="247"/>
    <x v="365"/>
    <x v="1"/>
    <x v="1"/>
    <n v="1693"/>
    <n v="83.14"/>
    <n v="73.3"/>
    <n v="62"/>
    <x v="0"/>
    <n v="12"/>
    <n v="9.8400000000000034"/>
    <x v="563"/>
    <n v="16659.120000000006"/>
  </r>
  <r>
    <s v="PO-00565"/>
    <x v="4"/>
    <x v="169"/>
    <x v="366"/>
    <x v="3"/>
    <x v="3"/>
    <n v="54"/>
    <n v="32.28"/>
    <n v="28.65"/>
    <n v="3"/>
    <x v="0"/>
    <n v="19"/>
    <n v="3.6300000000000026"/>
    <x v="564"/>
    <n v="196.02000000000015"/>
  </r>
  <r>
    <s v="PO-00566"/>
    <x v="4"/>
    <x v="383"/>
    <x v="121"/>
    <x v="2"/>
    <x v="1"/>
    <n v="1176"/>
    <n v="14.22"/>
    <n v="12.21"/>
    <n v="33"/>
    <x v="0"/>
    <n v="5"/>
    <n v="2.0099999999999998"/>
    <x v="565"/>
    <n v="2363.7599999999998"/>
  </r>
  <r>
    <s v="PO-00567"/>
    <x v="4"/>
    <x v="384"/>
    <x v="367"/>
    <x v="3"/>
    <x v="1"/>
    <n v="1269"/>
    <n v="35.28"/>
    <n v="33.700000000000003"/>
    <n v="35"/>
    <x v="0"/>
    <n v="12"/>
    <n v="1.5799999999999983"/>
    <x v="566"/>
    <n v="2005.0199999999979"/>
  </r>
  <r>
    <s v="PO-00568"/>
    <x v="4"/>
    <x v="385"/>
    <x v="226"/>
    <x v="3"/>
    <x v="1"/>
    <n v="823"/>
    <n v="68.319999999999993"/>
    <n v="64.459999999999994"/>
    <n v="19"/>
    <x v="0"/>
    <n v="3"/>
    <n v="3.8599999999999994"/>
    <x v="567"/>
    <n v="3176.7799999999997"/>
  </r>
  <r>
    <s v="PO-00569"/>
    <x v="3"/>
    <x v="315"/>
    <x v="368"/>
    <x v="4"/>
    <x v="1"/>
    <n v="926"/>
    <n v="15.65"/>
    <n v="13.49"/>
    <n v="94"/>
    <x v="1"/>
    <n v="17"/>
    <n v="2.16"/>
    <x v="568"/>
    <n v="2000.16"/>
  </r>
  <r>
    <s v="PO-00570"/>
    <x v="1"/>
    <x v="315"/>
    <x v="124"/>
    <x v="4"/>
    <x v="0"/>
    <n v="1041"/>
    <n v="58.5"/>
    <n v="52.54"/>
    <n v="170"/>
    <x v="1"/>
    <n v="11"/>
    <n v="5.9600000000000009"/>
    <x v="569"/>
    <n v="6204.3600000000006"/>
  </r>
  <r>
    <s v="PO-00571"/>
    <x v="2"/>
    <x v="257"/>
    <x v="111"/>
    <x v="4"/>
    <x v="3"/>
    <n v="933"/>
    <n v="70.72"/>
    <n v="65.47"/>
    <n v="42"/>
    <x v="0"/>
    <n v="8"/>
    <n v="5.25"/>
    <x v="570"/>
    <n v="4898.25"/>
  </r>
  <r>
    <s v="PO-00572"/>
    <x v="1"/>
    <x v="235"/>
    <x v="13"/>
    <x v="3"/>
    <x v="1"/>
    <n v="1423"/>
    <n v="41.48"/>
    <n v="40.9"/>
    <n v="199"/>
    <x v="0"/>
    <s v=""/>
    <n v="0.57999999999999829"/>
    <x v="571"/>
    <n v="825.33999999999753"/>
  </r>
  <r>
    <s v="PO-00573"/>
    <x v="1"/>
    <x v="360"/>
    <x v="369"/>
    <x v="1"/>
    <x v="1"/>
    <n v="96"/>
    <n v="86.13"/>
    <n v="80.319999999999993"/>
    <n v="12"/>
    <x v="1"/>
    <n v="6"/>
    <n v="5.8100000000000023"/>
    <x v="572"/>
    <n v="557.76000000000022"/>
  </r>
  <r>
    <s v="PO-00574"/>
    <x v="4"/>
    <x v="202"/>
    <x v="370"/>
    <x v="1"/>
    <x v="1"/>
    <n v="916"/>
    <n v="21.06"/>
    <n v="19.53"/>
    <n v="25"/>
    <x v="0"/>
    <n v="13"/>
    <n v="1.5299999999999976"/>
    <x v="573"/>
    <n v="1401.4799999999977"/>
  </r>
  <r>
    <s v="PO-00575"/>
    <x v="4"/>
    <x v="386"/>
    <x v="13"/>
    <x v="3"/>
    <x v="1"/>
    <n v="872"/>
    <n v="17.18"/>
    <n v="16.63"/>
    <n v="20"/>
    <x v="0"/>
    <s v=""/>
    <n v="0.55000000000000071"/>
    <x v="574"/>
    <n v="479.60000000000059"/>
  </r>
  <r>
    <s v="PO-00576"/>
    <x v="3"/>
    <x v="207"/>
    <x v="371"/>
    <x v="4"/>
    <x v="1"/>
    <n v="985"/>
    <n v="83.85"/>
    <n v="80.88"/>
    <m/>
    <x v="1"/>
    <n v="9"/>
    <n v="2.9699999999999989"/>
    <x v="575"/>
    <n v="2925.4499999999989"/>
  </r>
  <r>
    <s v="PO-00577"/>
    <x v="2"/>
    <x v="387"/>
    <x v="264"/>
    <x v="3"/>
    <x v="1"/>
    <n v="1893"/>
    <n v="55.14"/>
    <n v="50.1"/>
    <n v="98"/>
    <x v="0"/>
    <n v="7"/>
    <n v="5.0399999999999991"/>
    <x v="576"/>
    <n v="9540.7199999999975"/>
  </r>
  <r>
    <s v="PO-00578"/>
    <x v="0"/>
    <x v="388"/>
    <x v="13"/>
    <x v="1"/>
    <x v="1"/>
    <n v="705"/>
    <n v="75.19"/>
    <n v="69.55"/>
    <n v="19"/>
    <x v="0"/>
    <s v=""/>
    <n v="5.6400000000000006"/>
    <x v="577"/>
    <n v="3976.2000000000003"/>
  </r>
  <r>
    <s v="PO-00579"/>
    <x v="1"/>
    <x v="389"/>
    <x v="344"/>
    <x v="1"/>
    <x v="1"/>
    <n v="318"/>
    <n v="53.31"/>
    <n v="51.78"/>
    <m/>
    <x v="1"/>
    <n v="16"/>
    <n v="1.5300000000000011"/>
    <x v="578"/>
    <n v="486.54000000000036"/>
  </r>
  <r>
    <s v="PO-00580"/>
    <x v="0"/>
    <x v="295"/>
    <x v="372"/>
    <x v="0"/>
    <x v="3"/>
    <n v="419"/>
    <n v="35.72"/>
    <n v="32.74"/>
    <n v="7"/>
    <x v="0"/>
    <n v="5"/>
    <n v="2.9799999999999969"/>
    <x v="579"/>
    <n v="1248.6199999999988"/>
  </r>
  <r>
    <s v="PO-00581"/>
    <x v="2"/>
    <x v="390"/>
    <x v="373"/>
    <x v="1"/>
    <x v="1"/>
    <n v="685"/>
    <n v="92.51"/>
    <n v="90.05"/>
    <n v="38"/>
    <x v="0"/>
    <n v="15"/>
    <n v="2.460000000000008"/>
    <x v="580"/>
    <n v="1685.1000000000054"/>
  </r>
  <r>
    <s v="PO-00582"/>
    <x v="1"/>
    <x v="265"/>
    <x v="349"/>
    <x v="0"/>
    <x v="2"/>
    <n v="1179"/>
    <n v="90.14"/>
    <n v="82.63"/>
    <n v="194"/>
    <x v="0"/>
    <n v="15"/>
    <n v="7.5100000000000051"/>
    <x v="581"/>
    <n v="8854.2900000000063"/>
  </r>
  <r>
    <s v="PO-00583"/>
    <x v="0"/>
    <x v="391"/>
    <x v="13"/>
    <x v="3"/>
    <x v="1"/>
    <n v="1743"/>
    <n v="76.510000000000005"/>
    <n v="65.88"/>
    <n v="40"/>
    <x v="0"/>
    <s v=""/>
    <n v="10.63000000000001"/>
    <x v="582"/>
    <n v="18528.090000000018"/>
  </r>
  <r>
    <s v="PO-00584"/>
    <x v="0"/>
    <x v="15"/>
    <x v="39"/>
    <x v="1"/>
    <x v="1"/>
    <n v="1732"/>
    <n v="35.01"/>
    <n v="34.18"/>
    <n v="40"/>
    <x v="0"/>
    <n v="11"/>
    <n v="0.82999999999999829"/>
    <x v="583"/>
    <n v="1437.559999999997"/>
  </r>
  <r>
    <s v="PO-00585"/>
    <x v="3"/>
    <x v="258"/>
    <x v="81"/>
    <x v="0"/>
    <x v="1"/>
    <n v="706"/>
    <n v="65.33"/>
    <n v="62.06"/>
    <n v="60"/>
    <x v="1"/>
    <n v="3"/>
    <n v="3.269999999999996"/>
    <x v="584"/>
    <n v="2308.6199999999972"/>
  </r>
  <r>
    <s v="PO-00586"/>
    <x v="2"/>
    <x v="392"/>
    <x v="374"/>
    <x v="1"/>
    <x v="0"/>
    <n v="169"/>
    <n v="47.16"/>
    <n v="43.4"/>
    <m/>
    <x v="0"/>
    <n v="10"/>
    <n v="3.759999999999998"/>
    <x v="585"/>
    <n v="635.43999999999971"/>
  </r>
  <r>
    <s v="PO-00587"/>
    <x v="2"/>
    <x v="393"/>
    <x v="164"/>
    <x v="0"/>
    <x v="3"/>
    <n v="880"/>
    <n v="19.149999999999999"/>
    <n v="18.690000000000001"/>
    <m/>
    <x v="1"/>
    <n v="6"/>
    <n v="0.4599999999999973"/>
    <x v="586"/>
    <n v="404.79999999999762"/>
  </r>
  <r>
    <s v="PO-00588"/>
    <x v="2"/>
    <x v="181"/>
    <x v="56"/>
    <x v="1"/>
    <x v="1"/>
    <n v="1860"/>
    <n v="95.8"/>
    <n v="92.17"/>
    <n v="105"/>
    <x v="1"/>
    <n v="6"/>
    <n v="3.6299999999999955"/>
    <x v="587"/>
    <n v="6751.799999999992"/>
  </r>
  <r>
    <s v="PO-00589"/>
    <x v="1"/>
    <x v="22"/>
    <x v="375"/>
    <x v="1"/>
    <x v="1"/>
    <n v="1677"/>
    <n v="22.98"/>
    <n v="21.71"/>
    <n v="246"/>
    <x v="0"/>
    <n v="17"/>
    <n v="1.2699999999999996"/>
    <x v="588"/>
    <n v="2129.7899999999995"/>
  </r>
  <r>
    <s v="PO-00590"/>
    <x v="3"/>
    <x v="394"/>
    <x v="376"/>
    <x v="2"/>
    <x v="2"/>
    <n v="1131"/>
    <n v="97.43"/>
    <n v="91.28"/>
    <n v="103"/>
    <x v="0"/>
    <n v="7"/>
    <n v="6.1500000000000057"/>
    <x v="589"/>
    <n v="6955.650000000006"/>
  </r>
  <r>
    <s v="PO-00591"/>
    <x v="4"/>
    <x v="2"/>
    <x v="314"/>
    <x v="3"/>
    <x v="0"/>
    <n v="1419"/>
    <n v="50.14"/>
    <n v="43.46"/>
    <m/>
    <x v="0"/>
    <n v="8"/>
    <n v="6.68"/>
    <x v="590"/>
    <n v="9478.92"/>
  </r>
  <r>
    <s v="PO-00592"/>
    <x v="1"/>
    <x v="395"/>
    <x v="14"/>
    <x v="3"/>
    <x v="3"/>
    <n v="790"/>
    <n v="26.8"/>
    <n v="25.62"/>
    <n v="115"/>
    <x v="0"/>
    <n v="1"/>
    <n v="1.1799999999999997"/>
    <x v="591"/>
    <n v="932.19999999999982"/>
  </r>
  <r>
    <s v="PO-00593"/>
    <x v="2"/>
    <x v="4"/>
    <x v="377"/>
    <x v="1"/>
    <x v="3"/>
    <n v="1547"/>
    <n v="61.12"/>
    <n v="53.43"/>
    <n v="77"/>
    <x v="0"/>
    <n v="19"/>
    <n v="7.6899999999999977"/>
    <x v="592"/>
    <n v="11896.429999999997"/>
  </r>
  <r>
    <s v="PO-00594"/>
    <x v="1"/>
    <x v="165"/>
    <x v="191"/>
    <x v="0"/>
    <x v="0"/>
    <n v="166"/>
    <n v="95.65"/>
    <n v="94.48"/>
    <n v="23"/>
    <x v="0"/>
    <n v="18"/>
    <n v="1.1700000000000017"/>
    <x v="593"/>
    <n v="194.22000000000028"/>
  </r>
  <r>
    <s v="PO-00595"/>
    <x v="0"/>
    <x v="396"/>
    <x v="249"/>
    <x v="4"/>
    <x v="1"/>
    <n v="1903"/>
    <n v="83.49"/>
    <n v="82.33"/>
    <n v="43"/>
    <x v="0"/>
    <n v="3"/>
    <n v="1.1599999999999966"/>
    <x v="594"/>
    <n v="2207.4799999999937"/>
  </r>
  <r>
    <s v="PO-00596"/>
    <x v="1"/>
    <x v="277"/>
    <x v="378"/>
    <x v="0"/>
    <x v="2"/>
    <n v="840"/>
    <n v="83.42"/>
    <n v="80.349999999999994"/>
    <n v="153"/>
    <x v="0"/>
    <n v="13"/>
    <n v="3.0700000000000074"/>
    <x v="595"/>
    <n v="2578.8000000000061"/>
  </r>
  <r>
    <s v="PO-00597"/>
    <x v="1"/>
    <x v="397"/>
    <x v="13"/>
    <x v="1"/>
    <x v="1"/>
    <n v="1200"/>
    <n v="74.489999999999995"/>
    <n v="64.63"/>
    <n v="161"/>
    <x v="0"/>
    <s v=""/>
    <n v="9.86"/>
    <x v="596"/>
    <n v="11832"/>
  </r>
  <r>
    <s v="PO-00598"/>
    <x v="2"/>
    <x v="398"/>
    <x v="197"/>
    <x v="3"/>
    <x v="1"/>
    <n v="1466"/>
    <n v="77.37"/>
    <n v="70.349999999999994"/>
    <n v="72"/>
    <x v="0"/>
    <n v="17"/>
    <n v="7.0200000000000102"/>
    <x v="597"/>
    <n v="10291.320000000014"/>
  </r>
  <r>
    <s v="PO-00599"/>
    <x v="0"/>
    <x v="399"/>
    <x v="134"/>
    <x v="0"/>
    <x v="1"/>
    <n v="1981"/>
    <n v="95.5"/>
    <n v="94.39"/>
    <n v="49"/>
    <x v="0"/>
    <n v="14"/>
    <n v="1.1099999999999994"/>
    <x v="598"/>
    <n v="2198.9099999999989"/>
  </r>
  <r>
    <s v="PO-00600"/>
    <x v="2"/>
    <x v="400"/>
    <x v="50"/>
    <x v="2"/>
    <x v="1"/>
    <n v="1062"/>
    <n v="35.549999999999997"/>
    <n v="32.380000000000003"/>
    <m/>
    <x v="0"/>
    <n v="3"/>
    <n v="3.1699999999999946"/>
    <x v="599"/>
    <n v="3366.5399999999941"/>
  </r>
  <r>
    <s v="PO-00601"/>
    <x v="0"/>
    <x v="401"/>
    <x v="379"/>
    <x v="1"/>
    <x v="1"/>
    <n v="1714"/>
    <n v="55.67"/>
    <n v="55.09"/>
    <n v="42"/>
    <x v="0"/>
    <n v="11"/>
    <n v="0.57999999999999829"/>
    <x v="600"/>
    <n v="994.11999999999705"/>
  </r>
  <r>
    <s v="PO-00602"/>
    <x v="0"/>
    <x v="241"/>
    <x v="380"/>
    <x v="0"/>
    <x v="1"/>
    <n v="1131"/>
    <n v="33.35"/>
    <n v="31.28"/>
    <n v="23"/>
    <x v="0"/>
    <n v="15"/>
    <n v="2.0700000000000003"/>
    <x v="601"/>
    <n v="2341.1700000000005"/>
  </r>
  <r>
    <s v="PO-00603"/>
    <x v="0"/>
    <x v="402"/>
    <x v="330"/>
    <x v="0"/>
    <x v="1"/>
    <n v="683"/>
    <n v="104.82"/>
    <n v="101.34"/>
    <m/>
    <x v="0"/>
    <n v="17"/>
    <n v="3.4799999999999898"/>
    <x v="602"/>
    <n v="2376.8399999999929"/>
  </r>
  <r>
    <s v="PO-00604"/>
    <x v="2"/>
    <x v="403"/>
    <x v="381"/>
    <x v="2"/>
    <x v="2"/>
    <n v="562"/>
    <n v="102.56"/>
    <n v="90.88"/>
    <n v="38"/>
    <x v="0"/>
    <n v="18"/>
    <n v="11.680000000000007"/>
    <x v="603"/>
    <n v="6564.1600000000035"/>
  </r>
  <r>
    <s v="PO-00605"/>
    <x v="0"/>
    <x v="351"/>
    <x v="382"/>
    <x v="4"/>
    <x v="1"/>
    <n v="1824"/>
    <n v="14.43"/>
    <n v="14.11"/>
    <n v="36"/>
    <x v="0"/>
    <n v="6"/>
    <n v="0.32000000000000028"/>
    <x v="604"/>
    <n v="583.68000000000052"/>
  </r>
  <r>
    <s v="PO-00606"/>
    <x v="3"/>
    <x v="404"/>
    <x v="217"/>
    <x v="4"/>
    <x v="2"/>
    <n v="851"/>
    <n v="76.44"/>
    <n v="74.760000000000005"/>
    <n v="91"/>
    <x v="0"/>
    <n v="5"/>
    <n v="1.6799999999999926"/>
    <x v="605"/>
    <n v="1429.6799999999937"/>
  </r>
  <r>
    <s v="PO-00607"/>
    <x v="3"/>
    <x v="323"/>
    <x v="6"/>
    <x v="0"/>
    <x v="1"/>
    <n v="1169"/>
    <n v="95.6"/>
    <n v="82.16"/>
    <n v="103"/>
    <x v="0"/>
    <n v="2"/>
    <n v="13.439999999999998"/>
    <x v="606"/>
    <n v="15711.359999999997"/>
  </r>
  <r>
    <s v="PO-00608"/>
    <x v="4"/>
    <x v="100"/>
    <x v="277"/>
    <x v="1"/>
    <x v="1"/>
    <n v="1711"/>
    <n v="29.14"/>
    <n v="26.35"/>
    <n v="48"/>
    <x v="0"/>
    <n v="17"/>
    <n v="2.7899999999999991"/>
    <x v="607"/>
    <n v="4773.6899999999987"/>
  </r>
  <r>
    <s v="PO-00609"/>
    <x v="3"/>
    <x v="85"/>
    <x v="383"/>
    <x v="2"/>
    <x v="3"/>
    <n v="1191"/>
    <n v="68.14"/>
    <n v="61.71"/>
    <n v="112"/>
    <x v="0"/>
    <n v="6"/>
    <n v="6.43"/>
    <x v="608"/>
    <n v="7658.13"/>
  </r>
  <r>
    <s v="PO-00610"/>
    <x v="4"/>
    <x v="405"/>
    <x v="384"/>
    <x v="4"/>
    <x v="1"/>
    <n v="609"/>
    <n v="92.39"/>
    <n v="82.75"/>
    <n v="29"/>
    <x v="0"/>
    <n v="8"/>
    <n v="9.64"/>
    <x v="609"/>
    <n v="5870.76"/>
  </r>
  <r>
    <s v="PO-00611"/>
    <x v="3"/>
    <x v="299"/>
    <x v="247"/>
    <x v="0"/>
    <x v="1"/>
    <n v="1674"/>
    <n v="13.25"/>
    <n v="11.77"/>
    <n v="181"/>
    <x v="0"/>
    <n v="17"/>
    <n v="1.4800000000000004"/>
    <x v="610"/>
    <n v="2477.5200000000009"/>
  </r>
  <r>
    <s v="PO-00612"/>
    <x v="2"/>
    <x v="406"/>
    <x v="385"/>
    <x v="1"/>
    <x v="1"/>
    <n v="537"/>
    <n v="77.86"/>
    <n v="71.180000000000007"/>
    <n v="20"/>
    <x v="0"/>
    <n v="3"/>
    <n v="6.6799999999999926"/>
    <x v="611"/>
    <n v="3587.1599999999962"/>
  </r>
  <r>
    <s v="PO-00613"/>
    <x v="4"/>
    <x v="87"/>
    <x v="16"/>
    <x v="4"/>
    <x v="1"/>
    <n v="1310"/>
    <n v="38.049999999999997"/>
    <n v="37"/>
    <n v="45"/>
    <x v="0"/>
    <n v="18"/>
    <n v="1.0499999999999972"/>
    <x v="612"/>
    <n v="1375.4999999999964"/>
  </r>
  <r>
    <s v="PO-00614"/>
    <x v="1"/>
    <x v="407"/>
    <x v="73"/>
    <x v="3"/>
    <x v="1"/>
    <n v="1958"/>
    <n v="95.53"/>
    <n v="91.72"/>
    <n v="308"/>
    <x v="0"/>
    <n v="10"/>
    <n v="3.8100000000000023"/>
    <x v="613"/>
    <n v="7459.9800000000041"/>
  </r>
  <r>
    <s v="PO-00615"/>
    <x v="1"/>
    <x v="408"/>
    <x v="31"/>
    <x v="0"/>
    <x v="1"/>
    <n v="946"/>
    <n v="108.6"/>
    <n v="101.78"/>
    <n v="146"/>
    <x v="0"/>
    <n v="3"/>
    <n v="6.8199999999999932"/>
    <x v="614"/>
    <n v="6451.7199999999939"/>
  </r>
  <r>
    <s v="PO-00616"/>
    <x v="3"/>
    <x v="409"/>
    <x v="386"/>
    <x v="2"/>
    <x v="2"/>
    <n v="1345"/>
    <n v="103.06"/>
    <n v="95.14"/>
    <m/>
    <x v="0"/>
    <n v="6"/>
    <n v="7.9200000000000017"/>
    <x v="615"/>
    <n v="10652.400000000001"/>
  </r>
  <r>
    <s v="PO-00617"/>
    <x v="1"/>
    <x v="410"/>
    <x v="387"/>
    <x v="1"/>
    <x v="1"/>
    <n v="1262"/>
    <n v="56.63"/>
    <n v="51.46"/>
    <m/>
    <x v="1"/>
    <n v="19"/>
    <n v="5.1700000000000017"/>
    <x v="616"/>
    <n v="6524.5400000000018"/>
  </r>
  <r>
    <s v="PO-00618"/>
    <x v="3"/>
    <x v="228"/>
    <x v="213"/>
    <x v="0"/>
    <x v="3"/>
    <n v="753"/>
    <n v="88.02"/>
    <n v="79.92"/>
    <n v="75"/>
    <x v="0"/>
    <n v="20"/>
    <n v="8.0999999999999943"/>
    <x v="617"/>
    <n v="6099.2999999999956"/>
  </r>
  <r>
    <s v="PO-00619"/>
    <x v="3"/>
    <x v="86"/>
    <x v="97"/>
    <x v="4"/>
    <x v="1"/>
    <n v="1520"/>
    <n v="93.75"/>
    <n v="81.63"/>
    <n v="149"/>
    <x v="0"/>
    <n v="20"/>
    <n v="12.120000000000005"/>
    <x v="618"/>
    <n v="18422.400000000009"/>
  </r>
  <r>
    <s v="PO-00620"/>
    <x v="1"/>
    <x v="224"/>
    <x v="388"/>
    <x v="0"/>
    <x v="1"/>
    <n v="630"/>
    <n v="40.270000000000003"/>
    <n v="37.54"/>
    <n v="76"/>
    <x v="0"/>
    <n v="19"/>
    <n v="2.730000000000004"/>
    <x v="619"/>
    <n v="1719.9000000000026"/>
  </r>
  <r>
    <s v="PO-00621"/>
    <x v="1"/>
    <x v="411"/>
    <x v="389"/>
    <x v="0"/>
    <x v="1"/>
    <n v="839"/>
    <n v="86.29"/>
    <n v="82.51"/>
    <n v="110"/>
    <x v="0"/>
    <n v="1"/>
    <n v="3.7800000000000011"/>
    <x v="620"/>
    <n v="3171.420000000001"/>
  </r>
  <r>
    <s v="PO-00622"/>
    <x v="0"/>
    <x v="412"/>
    <x v="390"/>
    <x v="4"/>
    <x v="1"/>
    <n v="910"/>
    <n v="14.33"/>
    <n v="14.07"/>
    <n v="27"/>
    <x v="0"/>
    <n v="19"/>
    <n v="0.25999999999999979"/>
    <x v="621"/>
    <n v="236.5999999999998"/>
  </r>
  <r>
    <s v="PO-00623"/>
    <x v="4"/>
    <x v="413"/>
    <x v="391"/>
    <x v="3"/>
    <x v="1"/>
    <n v="296"/>
    <n v="64.94"/>
    <n v="63.61"/>
    <m/>
    <x v="0"/>
    <n v="7"/>
    <n v="1.3299999999999983"/>
    <x v="622"/>
    <n v="393.6799999999995"/>
  </r>
  <r>
    <s v="PO-00624"/>
    <x v="3"/>
    <x v="410"/>
    <x v="392"/>
    <x v="1"/>
    <x v="1"/>
    <n v="1149"/>
    <n v="33"/>
    <n v="30.65"/>
    <n v="141"/>
    <x v="0"/>
    <n v="14"/>
    <n v="2.3500000000000014"/>
    <x v="623"/>
    <n v="2700.1500000000015"/>
  </r>
  <r>
    <s v="PO-00625"/>
    <x v="1"/>
    <x v="293"/>
    <x v="372"/>
    <x v="4"/>
    <x v="1"/>
    <n v="203"/>
    <n v="23.14"/>
    <n v="20"/>
    <m/>
    <x v="1"/>
    <n v="1"/>
    <n v="3.1400000000000006"/>
    <x v="624"/>
    <n v="637.42000000000007"/>
  </r>
  <r>
    <s v="PO-00626"/>
    <x v="4"/>
    <x v="147"/>
    <x v="141"/>
    <x v="0"/>
    <x v="1"/>
    <n v="1729"/>
    <n v="18.36"/>
    <n v="16.34"/>
    <n v="47"/>
    <x v="0"/>
    <n v="18"/>
    <n v="2.0199999999999996"/>
    <x v="625"/>
    <n v="3492.5799999999995"/>
  </r>
  <r>
    <s v="PO-00627"/>
    <x v="1"/>
    <x v="414"/>
    <x v="148"/>
    <x v="0"/>
    <x v="1"/>
    <n v="1508"/>
    <n v="79.209999999999994"/>
    <n v="73.27"/>
    <n v="226"/>
    <x v="0"/>
    <n v="10"/>
    <n v="5.9399999999999977"/>
    <x v="626"/>
    <n v="8957.5199999999968"/>
  </r>
  <r>
    <s v="PO-00628"/>
    <x v="1"/>
    <x v="256"/>
    <x v="393"/>
    <x v="2"/>
    <x v="2"/>
    <n v="1046"/>
    <n v="44.65"/>
    <n v="40.1"/>
    <n v="165"/>
    <x v="1"/>
    <n v="13"/>
    <n v="4.5499999999999972"/>
    <x v="627"/>
    <n v="4759.2999999999975"/>
  </r>
  <r>
    <s v="PO-00629"/>
    <x v="0"/>
    <x v="415"/>
    <x v="263"/>
    <x v="0"/>
    <x v="1"/>
    <n v="1159"/>
    <n v="78.989999999999995"/>
    <n v="71.69"/>
    <n v="14"/>
    <x v="0"/>
    <n v="3"/>
    <n v="7.2999999999999972"/>
    <x v="628"/>
    <n v="8460.6999999999971"/>
  </r>
  <r>
    <s v="PO-00630"/>
    <x v="3"/>
    <x v="226"/>
    <x v="394"/>
    <x v="4"/>
    <x v="1"/>
    <n v="746"/>
    <n v="16.989999999999998"/>
    <n v="15.35"/>
    <n v="69"/>
    <x v="1"/>
    <n v="6"/>
    <n v="1.6399999999999988"/>
    <x v="629"/>
    <n v="1223.4399999999991"/>
  </r>
  <r>
    <s v="PO-00631"/>
    <x v="3"/>
    <x v="416"/>
    <x v="250"/>
    <x v="2"/>
    <x v="1"/>
    <n v="1358"/>
    <n v="42.21"/>
    <n v="38.75"/>
    <n v="128"/>
    <x v="0"/>
    <n v="16"/>
    <n v="3.4600000000000009"/>
    <x v="630"/>
    <n v="4698.6800000000012"/>
  </r>
  <r>
    <s v="PO-00632"/>
    <x v="2"/>
    <x v="417"/>
    <x v="395"/>
    <x v="0"/>
    <x v="1"/>
    <n v="1293"/>
    <n v="63.53"/>
    <n v="59.42"/>
    <n v="79"/>
    <x v="0"/>
    <n v="11"/>
    <n v="4.1099999999999994"/>
    <x v="631"/>
    <n v="5314.23"/>
  </r>
  <r>
    <s v="PO-00633"/>
    <x v="0"/>
    <x v="418"/>
    <x v="396"/>
    <x v="4"/>
    <x v="1"/>
    <n v="1142"/>
    <n v="86.85"/>
    <n v="74.28"/>
    <n v="30"/>
    <x v="0"/>
    <n v="11"/>
    <n v="12.569999999999993"/>
    <x v="632"/>
    <n v="14354.939999999991"/>
  </r>
  <r>
    <s v="PO-00634"/>
    <x v="4"/>
    <x v="380"/>
    <x v="397"/>
    <x v="1"/>
    <x v="1"/>
    <n v="1120"/>
    <n v="42.17"/>
    <n v="37.47"/>
    <n v="33"/>
    <x v="0"/>
    <n v="11"/>
    <n v="4.7000000000000028"/>
    <x v="633"/>
    <n v="5264.0000000000036"/>
  </r>
  <r>
    <s v="PO-00635"/>
    <x v="0"/>
    <x v="419"/>
    <x v="398"/>
    <x v="1"/>
    <x v="1"/>
    <n v="1058"/>
    <n v="71.3"/>
    <n v="62.04"/>
    <m/>
    <x v="0"/>
    <n v="12"/>
    <n v="9.259999999999998"/>
    <x v="634"/>
    <n v="9797.0799999999981"/>
  </r>
  <r>
    <s v="PO-00636"/>
    <x v="4"/>
    <x v="420"/>
    <x v="13"/>
    <x v="0"/>
    <x v="1"/>
    <n v="143"/>
    <n v="91.98"/>
    <n v="86.02"/>
    <n v="5"/>
    <x v="0"/>
    <s v=""/>
    <n v="5.960000000000008"/>
    <x v="635"/>
    <n v="852.28000000000111"/>
  </r>
  <r>
    <s v="PO-00637"/>
    <x v="3"/>
    <x v="165"/>
    <x v="399"/>
    <x v="1"/>
    <x v="1"/>
    <n v="1823"/>
    <n v="70.66"/>
    <n v="66.92"/>
    <n v="202"/>
    <x v="0"/>
    <n v="12"/>
    <n v="3.7399999999999949"/>
    <x v="636"/>
    <n v="6818.0199999999904"/>
  </r>
  <r>
    <s v="PO-00638"/>
    <x v="2"/>
    <x v="421"/>
    <x v="400"/>
    <x v="0"/>
    <x v="1"/>
    <n v="1007"/>
    <n v="33.29"/>
    <n v="28.48"/>
    <n v="49"/>
    <x v="0"/>
    <n v="4"/>
    <n v="4.8099999999999987"/>
    <x v="637"/>
    <n v="4843.6699999999992"/>
  </r>
  <r>
    <s v="PO-00639"/>
    <x v="2"/>
    <x v="422"/>
    <x v="401"/>
    <x v="2"/>
    <x v="1"/>
    <n v="1061"/>
    <n v="12.68"/>
    <n v="12.36"/>
    <n v="56"/>
    <x v="1"/>
    <n v="15"/>
    <n v="0.32000000000000028"/>
    <x v="638"/>
    <n v="339.52000000000032"/>
  </r>
  <r>
    <s v="PO-00640"/>
    <x v="3"/>
    <x v="180"/>
    <x v="402"/>
    <x v="1"/>
    <x v="3"/>
    <n v="502"/>
    <n v="91.84"/>
    <n v="82.33"/>
    <m/>
    <x v="0"/>
    <n v="15"/>
    <n v="9.5100000000000051"/>
    <x v="639"/>
    <n v="4774.0200000000023"/>
  </r>
  <r>
    <s v="PO-00641"/>
    <x v="1"/>
    <x v="313"/>
    <x v="403"/>
    <x v="2"/>
    <x v="1"/>
    <n v="1277"/>
    <n v="13.17"/>
    <n v="11.63"/>
    <n v="199"/>
    <x v="1"/>
    <n v="4"/>
    <n v="1.5399999999999991"/>
    <x v="640"/>
    <n v="1966.579999999999"/>
  </r>
  <r>
    <s v="PO-00642"/>
    <x v="0"/>
    <x v="309"/>
    <x v="208"/>
    <x v="2"/>
    <x v="1"/>
    <n v="961"/>
    <n v="92.72"/>
    <n v="88.49"/>
    <n v="22"/>
    <x v="0"/>
    <n v="13"/>
    <n v="4.230000000000004"/>
    <x v="641"/>
    <n v="4065.0300000000038"/>
  </r>
  <r>
    <s v="PO-00643"/>
    <x v="2"/>
    <x v="423"/>
    <x v="404"/>
    <x v="2"/>
    <x v="1"/>
    <n v="267"/>
    <n v="62.5"/>
    <n v="61.18"/>
    <n v="17"/>
    <x v="0"/>
    <n v="14"/>
    <n v="1.3200000000000003"/>
    <x v="642"/>
    <n v="352.44000000000005"/>
  </r>
  <r>
    <s v="PO-00644"/>
    <x v="1"/>
    <x v="424"/>
    <x v="405"/>
    <x v="3"/>
    <x v="0"/>
    <n v="523"/>
    <n v="102.08"/>
    <n v="99.59"/>
    <m/>
    <x v="0"/>
    <n v="6"/>
    <n v="2.4899999999999949"/>
    <x v="643"/>
    <n v="1302.2699999999973"/>
  </r>
  <r>
    <s v="PO-00645"/>
    <x v="4"/>
    <x v="425"/>
    <x v="72"/>
    <x v="4"/>
    <x v="3"/>
    <n v="481"/>
    <n v="90.49"/>
    <n v="77.17"/>
    <m/>
    <x v="0"/>
    <n v="19"/>
    <n v="13.319999999999993"/>
    <x v="644"/>
    <n v="6406.9199999999964"/>
  </r>
  <r>
    <s v="PO-00646"/>
    <x v="2"/>
    <x v="272"/>
    <x v="406"/>
    <x v="0"/>
    <x v="1"/>
    <n v="390"/>
    <n v="103.81"/>
    <n v="100.12"/>
    <n v="20"/>
    <x v="0"/>
    <n v="7"/>
    <n v="3.6899999999999977"/>
    <x v="645"/>
    <n v="1439.099999999999"/>
  </r>
  <r>
    <s v="PO-00647"/>
    <x v="4"/>
    <x v="3"/>
    <x v="407"/>
    <x v="2"/>
    <x v="1"/>
    <n v="600"/>
    <n v="43.43"/>
    <n v="38.76"/>
    <n v="22"/>
    <x v="0"/>
    <n v="16"/>
    <n v="4.6700000000000017"/>
    <x v="646"/>
    <n v="2802.0000000000009"/>
  </r>
  <r>
    <s v="PO-00648"/>
    <x v="1"/>
    <x v="426"/>
    <x v="13"/>
    <x v="0"/>
    <x v="1"/>
    <n v="1685"/>
    <n v="84.58"/>
    <n v="75.209999999999994"/>
    <n v="253"/>
    <x v="1"/>
    <s v=""/>
    <n v="9.3700000000000045"/>
    <x v="647"/>
    <n v="15788.450000000008"/>
  </r>
  <r>
    <s v="PO-00649"/>
    <x v="4"/>
    <x v="427"/>
    <x v="71"/>
    <x v="2"/>
    <x v="0"/>
    <n v="1362"/>
    <n v="46.64"/>
    <n v="42.85"/>
    <n v="33"/>
    <x v="0"/>
    <n v="10"/>
    <n v="3.7899999999999991"/>
    <x v="648"/>
    <n v="5161.9799999999987"/>
  </r>
  <r>
    <s v="PO-00650"/>
    <x v="1"/>
    <x v="173"/>
    <x v="181"/>
    <x v="4"/>
    <x v="3"/>
    <n v="1327"/>
    <n v="59.57"/>
    <n v="56.44"/>
    <n v="169"/>
    <x v="0"/>
    <n v="3"/>
    <n v="3.1300000000000026"/>
    <x v="649"/>
    <n v="4153.5100000000029"/>
  </r>
  <r>
    <s v="PO-00651"/>
    <x v="4"/>
    <x v="240"/>
    <x v="13"/>
    <x v="1"/>
    <x v="1"/>
    <n v="1807"/>
    <n v="69.47"/>
    <n v="60"/>
    <n v="50"/>
    <x v="0"/>
    <s v=""/>
    <n v="9.4699999999999989"/>
    <x v="650"/>
    <n v="17112.289999999997"/>
  </r>
  <r>
    <s v="PO-00652"/>
    <x v="0"/>
    <x v="258"/>
    <x v="408"/>
    <x v="0"/>
    <x v="3"/>
    <n v="406"/>
    <n v="91.73"/>
    <n v="89.13"/>
    <m/>
    <x v="0"/>
    <n v="8"/>
    <n v="2.6000000000000085"/>
    <x v="651"/>
    <n v="1055.6000000000035"/>
  </r>
  <r>
    <s v="PO-00653"/>
    <x v="2"/>
    <x v="300"/>
    <x v="316"/>
    <x v="3"/>
    <x v="2"/>
    <n v="72"/>
    <n v="103"/>
    <n v="89.49"/>
    <n v="1"/>
    <x v="1"/>
    <n v="12"/>
    <n v="13.510000000000005"/>
    <x v="652"/>
    <n v="972.72000000000037"/>
  </r>
  <r>
    <s v="PO-00654"/>
    <x v="2"/>
    <x v="391"/>
    <x v="184"/>
    <x v="0"/>
    <x v="1"/>
    <n v="1835"/>
    <n v="83.5"/>
    <n v="82.36"/>
    <n v="85"/>
    <x v="1"/>
    <n v="10"/>
    <n v="1.1400000000000006"/>
    <x v="653"/>
    <n v="2091.900000000001"/>
  </r>
  <r>
    <s v="PO-00655"/>
    <x v="1"/>
    <x v="428"/>
    <x v="84"/>
    <x v="4"/>
    <x v="3"/>
    <n v="571"/>
    <n v="49.98"/>
    <n v="45.58"/>
    <m/>
    <x v="1"/>
    <n v="16"/>
    <n v="4.3999999999999986"/>
    <x v="654"/>
    <n v="2512.3999999999992"/>
  </r>
  <r>
    <s v="PO-00656"/>
    <x v="4"/>
    <x v="230"/>
    <x v="74"/>
    <x v="2"/>
    <x v="1"/>
    <n v="1831"/>
    <n v="52.24"/>
    <n v="50.44"/>
    <n v="60"/>
    <x v="0"/>
    <n v="1"/>
    <n v="1.8000000000000043"/>
    <x v="655"/>
    <n v="3295.8000000000079"/>
  </r>
  <r>
    <s v="PO-00657"/>
    <x v="3"/>
    <x v="254"/>
    <x v="216"/>
    <x v="0"/>
    <x v="3"/>
    <n v="1910"/>
    <n v="77.150000000000006"/>
    <n v="68.489999999999995"/>
    <n v="170"/>
    <x v="0"/>
    <n v="14"/>
    <n v="8.6600000000000108"/>
    <x v="656"/>
    <n v="16540.60000000002"/>
  </r>
  <r>
    <s v="PO-00658"/>
    <x v="2"/>
    <x v="114"/>
    <x v="409"/>
    <x v="4"/>
    <x v="2"/>
    <n v="1173"/>
    <n v="32.119999999999997"/>
    <n v="29.18"/>
    <m/>
    <x v="0"/>
    <n v="9"/>
    <n v="2.9399999999999977"/>
    <x v="657"/>
    <n v="3448.6199999999972"/>
  </r>
  <r>
    <s v="PO-00659"/>
    <x v="4"/>
    <x v="429"/>
    <x v="410"/>
    <x v="2"/>
    <x v="2"/>
    <n v="851"/>
    <n v="20.440000000000001"/>
    <n v="19.22"/>
    <n v="22"/>
    <x v="0"/>
    <n v="13"/>
    <n v="1.2200000000000024"/>
    <x v="658"/>
    <n v="1038.2200000000021"/>
  </r>
  <r>
    <s v="PO-00660"/>
    <x v="4"/>
    <x v="430"/>
    <x v="146"/>
    <x v="1"/>
    <x v="0"/>
    <n v="1253"/>
    <n v="43.38"/>
    <n v="38.01"/>
    <n v="34"/>
    <x v="0"/>
    <n v="13"/>
    <n v="5.3700000000000045"/>
    <x v="659"/>
    <n v="6728.610000000006"/>
  </r>
  <r>
    <s v="PO-00661"/>
    <x v="0"/>
    <x v="431"/>
    <x v="330"/>
    <x v="4"/>
    <x v="1"/>
    <n v="1296"/>
    <n v="38"/>
    <n v="33.42"/>
    <n v="33"/>
    <x v="0"/>
    <n v="18"/>
    <n v="4.5799999999999983"/>
    <x v="660"/>
    <n v="5935.6799999999976"/>
  </r>
  <r>
    <s v="PO-00662"/>
    <x v="3"/>
    <x v="432"/>
    <x v="380"/>
    <x v="3"/>
    <x v="1"/>
    <n v="1979"/>
    <n v="40.880000000000003"/>
    <n v="39.46"/>
    <n v="221"/>
    <x v="0"/>
    <n v="18"/>
    <n v="1.4200000000000017"/>
    <x v="661"/>
    <n v="2810.1800000000035"/>
  </r>
  <r>
    <s v="PO-00663"/>
    <x v="2"/>
    <x v="120"/>
    <x v="233"/>
    <x v="0"/>
    <x v="1"/>
    <n v="811"/>
    <n v="31.8"/>
    <n v="30.33"/>
    <n v="58"/>
    <x v="0"/>
    <n v="13"/>
    <n v="1.4700000000000024"/>
    <x v="662"/>
    <n v="1192.1700000000019"/>
  </r>
  <r>
    <s v="PO-00664"/>
    <x v="0"/>
    <x v="433"/>
    <x v="411"/>
    <x v="4"/>
    <x v="1"/>
    <n v="1732"/>
    <n v="15.37"/>
    <n v="14.7"/>
    <n v="38"/>
    <x v="0"/>
    <n v="18"/>
    <n v="0.66999999999999993"/>
    <x v="663"/>
    <n v="1160.4399999999998"/>
  </r>
  <r>
    <s v="PO-00665"/>
    <x v="3"/>
    <x v="198"/>
    <x v="178"/>
    <x v="2"/>
    <x v="1"/>
    <n v="491"/>
    <n v="12.01"/>
    <n v="11.67"/>
    <n v="47"/>
    <x v="0"/>
    <n v="20"/>
    <n v="0.33999999999999986"/>
    <x v="664"/>
    <n v="166.93999999999994"/>
  </r>
  <r>
    <s v="PO-00666"/>
    <x v="2"/>
    <x v="124"/>
    <x v="147"/>
    <x v="2"/>
    <x v="0"/>
    <n v="1681"/>
    <n v="99.88"/>
    <n v="96.38"/>
    <n v="90"/>
    <x v="0"/>
    <n v="4"/>
    <n v="3.5"/>
    <x v="665"/>
    <n v="5883.5"/>
  </r>
  <r>
    <s v="PO-00667"/>
    <x v="0"/>
    <x v="398"/>
    <x v="412"/>
    <x v="3"/>
    <x v="2"/>
    <n v="818"/>
    <n v="51.89"/>
    <n v="47.85"/>
    <n v="12"/>
    <x v="0"/>
    <n v="4"/>
    <n v="4.0399999999999991"/>
    <x v="666"/>
    <n v="3304.7199999999993"/>
  </r>
  <r>
    <s v="PO-00668"/>
    <x v="3"/>
    <x v="434"/>
    <x v="412"/>
    <x v="0"/>
    <x v="1"/>
    <n v="1065"/>
    <n v="47.49"/>
    <n v="41.42"/>
    <n v="113"/>
    <x v="0"/>
    <n v="11"/>
    <n v="6.07"/>
    <x v="667"/>
    <n v="6464.55"/>
  </r>
  <r>
    <s v="PO-00669"/>
    <x v="2"/>
    <x v="193"/>
    <x v="413"/>
    <x v="2"/>
    <x v="1"/>
    <n v="1398"/>
    <n v="75.08"/>
    <n v="67.09"/>
    <n v="57"/>
    <x v="0"/>
    <n v="12"/>
    <n v="7.9899999999999949"/>
    <x v="668"/>
    <n v="11170.019999999993"/>
  </r>
  <r>
    <s v="PO-00670"/>
    <x v="3"/>
    <x v="248"/>
    <x v="237"/>
    <x v="2"/>
    <x v="1"/>
    <n v="565"/>
    <n v="32.31"/>
    <n v="29.76"/>
    <n v="60"/>
    <x v="0"/>
    <n v="7"/>
    <n v="2.5500000000000007"/>
    <x v="669"/>
    <n v="1440.7500000000005"/>
  </r>
  <r>
    <s v="PO-00671"/>
    <x v="4"/>
    <x v="435"/>
    <x v="199"/>
    <x v="2"/>
    <x v="3"/>
    <n v="1089"/>
    <n v="102.66"/>
    <n v="89.21"/>
    <n v="33"/>
    <x v="0"/>
    <n v="13"/>
    <n v="13.450000000000003"/>
    <x v="670"/>
    <n v="14647.050000000003"/>
  </r>
  <r>
    <s v="PO-00672"/>
    <x v="1"/>
    <x v="436"/>
    <x v="165"/>
    <x v="4"/>
    <x v="1"/>
    <n v="841"/>
    <n v="86.43"/>
    <n v="83.77"/>
    <n v="125"/>
    <x v="1"/>
    <n v="2"/>
    <n v="2.6600000000000108"/>
    <x v="671"/>
    <n v="2237.060000000009"/>
  </r>
  <r>
    <s v="PO-00673"/>
    <x v="1"/>
    <x v="437"/>
    <x v="203"/>
    <x v="4"/>
    <x v="1"/>
    <n v="385"/>
    <n v="18.23"/>
    <n v="17.739999999999998"/>
    <m/>
    <x v="0"/>
    <n v="11"/>
    <n v="0.49000000000000199"/>
    <x v="672"/>
    <n v="188.65000000000077"/>
  </r>
  <r>
    <s v="PO-00674"/>
    <x v="4"/>
    <x v="438"/>
    <x v="414"/>
    <x v="0"/>
    <x v="1"/>
    <n v="1832"/>
    <n v="49.01"/>
    <n v="41.86"/>
    <n v="52"/>
    <x v="0"/>
    <n v="17"/>
    <n v="7.1499999999999986"/>
    <x v="673"/>
    <n v="13098.799999999997"/>
  </r>
  <r>
    <s v="PO-00675"/>
    <x v="3"/>
    <x v="373"/>
    <x v="415"/>
    <x v="3"/>
    <x v="1"/>
    <n v="307"/>
    <n v="95.36"/>
    <n v="83.63"/>
    <n v="29"/>
    <x v="0"/>
    <n v="20"/>
    <n v="11.730000000000004"/>
    <x v="674"/>
    <n v="3601.110000000001"/>
  </r>
  <r>
    <s v="PO-00676"/>
    <x v="4"/>
    <x v="439"/>
    <x v="59"/>
    <x v="0"/>
    <x v="1"/>
    <n v="546"/>
    <n v="101.2"/>
    <n v="97.82"/>
    <n v="21"/>
    <x v="0"/>
    <n v="5"/>
    <n v="3.3800000000000097"/>
    <x v="675"/>
    <n v="1845.4800000000052"/>
  </r>
  <r>
    <s v="PO-00677"/>
    <x v="1"/>
    <x v="110"/>
    <x v="11"/>
    <x v="3"/>
    <x v="1"/>
    <n v="945"/>
    <n v="57.01"/>
    <n v="55.14"/>
    <n v="147"/>
    <x v="1"/>
    <n v="20"/>
    <n v="1.8699999999999974"/>
    <x v="676"/>
    <n v="1767.1499999999976"/>
  </r>
  <r>
    <s v="PO-00678"/>
    <x v="1"/>
    <x v="408"/>
    <x v="416"/>
    <x v="1"/>
    <x v="3"/>
    <n v="209"/>
    <n v="72.709999999999994"/>
    <n v="64.34"/>
    <n v="39"/>
    <x v="0"/>
    <n v="13"/>
    <n v="8.3699999999999903"/>
    <x v="677"/>
    <n v="1749.3299999999979"/>
  </r>
  <r>
    <s v="PO-00679"/>
    <x v="3"/>
    <x v="440"/>
    <x v="13"/>
    <x v="2"/>
    <x v="1"/>
    <n v="1548"/>
    <n v="25.03"/>
    <n v="22.87"/>
    <m/>
    <x v="0"/>
    <s v=""/>
    <n v="2.16"/>
    <x v="678"/>
    <n v="3343.6800000000003"/>
  </r>
  <r>
    <s v="PO-00680"/>
    <x v="1"/>
    <x v="400"/>
    <x v="302"/>
    <x v="3"/>
    <x v="1"/>
    <n v="901"/>
    <n v="108.63"/>
    <n v="106.3"/>
    <n v="141"/>
    <x v="0"/>
    <n v="10"/>
    <n v="2.3299999999999983"/>
    <x v="679"/>
    <n v="2099.3299999999986"/>
  </r>
  <r>
    <s v="PO-00681"/>
    <x v="4"/>
    <x v="38"/>
    <x v="77"/>
    <x v="2"/>
    <x v="1"/>
    <n v="1737"/>
    <n v="32.700000000000003"/>
    <n v="31.02"/>
    <n v="48"/>
    <x v="0"/>
    <n v="17"/>
    <n v="1.6800000000000033"/>
    <x v="680"/>
    <n v="2918.1600000000058"/>
  </r>
  <r>
    <s v="PO-00682"/>
    <x v="3"/>
    <x v="251"/>
    <x v="220"/>
    <x v="3"/>
    <x v="1"/>
    <n v="1981"/>
    <n v="102.43"/>
    <n v="90.99"/>
    <n v="204"/>
    <x v="0"/>
    <n v="18"/>
    <n v="11.440000000000012"/>
    <x v="681"/>
    <n v="22662.640000000025"/>
  </r>
  <r>
    <s v="PO-00683"/>
    <x v="4"/>
    <x v="30"/>
    <x v="417"/>
    <x v="1"/>
    <x v="3"/>
    <n v="739"/>
    <n v="68.47"/>
    <n v="66.09"/>
    <n v="19"/>
    <x v="0"/>
    <n v="19"/>
    <n v="2.3799999999999955"/>
    <x v="682"/>
    <n v="1758.8199999999965"/>
  </r>
  <r>
    <s v="PO-00684"/>
    <x v="3"/>
    <x v="441"/>
    <x v="418"/>
    <x v="3"/>
    <x v="1"/>
    <n v="1748"/>
    <n v="68.25"/>
    <n v="62.84"/>
    <n v="171"/>
    <x v="0"/>
    <n v="1"/>
    <n v="5.4099999999999966"/>
    <x v="683"/>
    <n v="9456.6799999999948"/>
  </r>
  <r>
    <s v="PO-00685"/>
    <x v="1"/>
    <x v="143"/>
    <x v="419"/>
    <x v="0"/>
    <x v="0"/>
    <n v="429"/>
    <n v="58.95"/>
    <n v="55.35"/>
    <n v="59"/>
    <x v="1"/>
    <n v="4"/>
    <n v="3.6000000000000014"/>
    <x v="684"/>
    <n v="1544.4000000000005"/>
  </r>
  <r>
    <s v="PO-00686"/>
    <x v="2"/>
    <x v="238"/>
    <x v="13"/>
    <x v="4"/>
    <x v="1"/>
    <n v="1618"/>
    <n v="32.76"/>
    <n v="28.41"/>
    <n v="62"/>
    <x v="0"/>
    <s v=""/>
    <n v="4.3499999999999979"/>
    <x v="685"/>
    <n v="7038.2999999999965"/>
  </r>
  <r>
    <s v="PO-00687"/>
    <x v="3"/>
    <x v="25"/>
    <x v="420"/>
    <x v="2"/>
    <x v="1"/>
    <n v="1006"/>
    <n v="27.7"/>
    <n v="23.66"/>
    <n v="101"/>
    <x v="1"/>
    <n v="1"/>
    <n v="4.0399999999999991"/>
    <x v="686"/>
    <n v="4064.2399999999993"/>
  </r>
  <r>
    <s v="PO-00688"/>
    <x v="3"/>
    <x v="108"/>
    <x v="421"/>
    <x v="4"/>
    <x v="2"/>
    <n v="740"/>
    <n v="32.53"/>
    <n v="29.35"/>
    <n v="84"/>
    <x v="0"/>
    <n v="9"/>
    <n v="3.1799999999999997"/>
    <x v="687"/>
    <n v="2353.1999999999998"/>
  </r>
  <r>
    <s v="PO-00689"/>
    <x v="2"/>
    <x v="442"/>
    <x v="13"/>
    <x v="3"/>
    <x v="1"/>
    <n v="1500"/>
    <n v="29.19"/>
    <n v="27.24"/>
    <n v="72"/>
    <x v="0"/>
    <s v=""/>
    <n v="1.9500000000000028"/>
    <x v="688"/>
    <n v="2925.0000000000041"/>
  </r>
  <r>
    <s v="PO-00690"/>
    <x v="1"/>
    <x v="443"/>
    <x v="422"/>
    <x v="0"/>
    <x v="0"/>
    <n v="1686"/>
    <n v="88.18"/>
    <n v="77.150000000000006"/>
    <m/>
    <x v="0"/>
    <n v="19"/>
    <n v="11.030000000000001"/>
    <x v="689"/>
    <n v="18596.580000000002"/>
  </r>
  <r>
    <s v="PO-00691"/>
    <x v="4"/>
    <x v="26"/>
    <x v="423"/>
    <x v="3"/>
    <x v="0"/>
    <n v="1341"/>
    <n v="42.96"/>
    <n v="41.75"/>
    <n v="39"/>
    <x v="0"/>
    <n v="2"/>
    <n v="1.2100000000000009"/>
    <x v="690"/>
    <n v="1622.610000000001"/>
  </r>
  <r>
    <s v="PO-00692"/>
    <x v="0"/>
    <x v="444"/>
    <x v="424"/>
    <x v="1"/>
    <x v="0"/>
    <n v="1908"/>
    <n v="16.420000000000002"/>
    <n v="15.31"/>
    <n v="36"/>
    <x v="0"/>
    <n v="6"/>
    <n v="1.1100000000000012"/>
    <x v="691"/>
    <n v="2117.8800000000024"/>
  </r>
  <r>
    <s v="PO-00693"/>
    <x v="2"/>
    <x v="87"/>
    <x v="312"/>
    <x v="1"/>
    <x v="2"/>
    <n v="1650"/>
    <n v="100.62"/>
    <n v="90.45"/>
    <n v="85"/>
    <x v="0"/>
    <n v="20"/>
    <n v="10.170000000000002"/>
    <x v="692"/>
    <n v="16780.500000000004"/>
  </r>
  <r>
    <s v="PO-00694"/>
    <x v="0"/>
    <x v="445"/>
    <x v="425"/>
    <x v="1"/>
    <x v="1"/>
    <n v="1490"/>
    <n v="93.57"/>
    <n v="81.680000000000007"/>
    <n v="29"/>
    <x v="0"/>
    <n v="13"/>
    <n v="11.889999999999986"/>
    <x v="693"/>
    <n v="17716.09999999998"/>
  </r>
  <r>
    <s v="PO-00695"/>
    <x v="1"/>
    <x v="358"/>
    <x v="339"/>
    <x v="3"/>
    <x v="1"/>
    <n v="1241"/>
    <n v="100.04"/>
    <n v="97.56"/>
    <n v="187"/>
    <x v="0"/>
    <n v="8"/>
    <n v="2.480000000000004"/>
    <x v="694"/>
    <n v="3077.6800000000048"/>
  </r>
  <r>
    <s v="PO-00696"/>
    <x v="3"/>
    <x v="159"/>
    <x v="157"/>
    <x v="1"/>
    <x v="1"/>
    <n v="1915"/>
    <n v="107.51"/>
    <n v="102.66"/>
    <n v="184"/>
    <x v="0"/>
    <n v="4"/>
    <n v="4.8500000000000085"/>
    <x v="695"/>
    <n v="9287.7500000000164"/>
  </r>
  <r>
    <s v="PO-00697"/>
    <x v="3"/>
    <x v="446"/>
    <x v="426"/>
    <x v="3"/>
    <x v="1"/>
    <n v="1116"/>
    <n v="25.65"/>
    <n v="24.28"/>
    <n v="121"/>
    <x v="0"/>
    <n v="15"/>
    <n v="1.3699999999999974"/>
    <x v="696"/>
    <n v="1528.9199999999971"/>
  </r>
  <r>
    <s v="PO-00698"/>
    <x v="1"/>
    <x v="439"/>
    <x v="59"/>
    <x v="3"/>
    <x v="1"/>
    <n v="1629"/>
    <n v="48.63"/>
    <n v="43.28"/>
    <n v="260"/>
    <x v="0"/>
    <n v="5"/>
    <n v="5.3500000000000014"/>
    <x v="697"/>
    <n v="8715.1500000000015"/>
  </r>
  <r>
    <s v="PO-00699"/>
    <x v="4"/>
    <x v="36"/>
    <x v="173"/>
    <x v="0"/>
    <x v="1"/>
    <n v="334"/>
    <n v="82.54"/>
    <n v="74.63"/>
    <m/>
    <x v="0"/>
    <n v="7"/>
    <n v="7.9100000000000108"/>
    <x v="698"/>
    <n v="2641.9400000000037"/>
  </r>
  <r>
    <s v="PO-00700"/>
    <x v="4"/>
    <x v="447"/>
    <x v="427"/>
    <x v="2"/>
    <x v="1"/>
    <n v="446"/>
    <n v="80.63"/>
    <n v="70.37"/>
    <m/>
    <x v="0"/>
    <n v="20"/>
    <n v="10.259999999999991"/>
    <x v="699"/>
    <n v="4575.9599999999955"/>
  </r>
  <r>
    <s v="PO-00701"/>
    <x v="1"/>
    <x v="352"/>
    <x v="13"/>
    <x v="4"/>
    <x v="1"/>
    <n v="61"/>
    <n v="26.47"/>
    <n v="24.62"/>
    <n v="6"/>
    <x v="0"/>
    <s v=""/>
    <n v="1.8499999999999979"/>
    <x v="700"/>
    <n v="112.84999999999987"/>
  </r>
  <r>
    <s v="PO-00702"/>
    <x v="1"/>
    <x v="448"/>
    <x v="428"/>
    <x v="2"/>
    <x v="1"/>
    <n v="1680"/>
    <n v="88.85"/>
    <n v="87.53"/>
    <m/>
    <x v="0"/>
    <n v="2"/>
    <n v="1.3199999999999932"/>
    <x v="701"/>
    <n v="2217.5999999999885"/>
  </r>
  <r>
    <s v="PO-00703"/>
    <x v="1"/>
    <x v="167"/>
    <x v="75"/>
    <x v="4"/>
    <x v="1"/>
    <n v="1375"/>
    <n v="30.95"/>
    <n v="30.02"/>
    <n v="223"/>
    <x v="0"/>
    <n v="17"/>
    <n v="0.92999999999999972"/>
    <x v="702"/>
    <n v="1278.7499999999995"/>
  </r>
  <r>
    <s v="PO-00704"/>
    <x v="1"/>
    <x v="211"/>
    <x v="392"/>
    <x v="4"/>
    <x v="2"/>
    <n v="1971"/>
    <n v="32.4"/>
    <n v="30.48"/>
    <n v="321"/>
    <x v="0"/>
    <n v="11"/>
    <n v="1.9199999999999982"/>
    <x v="703"/>
    <n v="3784.3199999999965"/>
  </r>
  <r>
    <s v="PO-00705"/>
    <x v="1"/>
    <x v="325"/>
    <x v="13"/>
    <x v="3"/>
    <x v="3"/>
    <n v="1326"/>
    <n v="59.49"/>
    <n v="56.21"/>
    <m/>
    <x v="0"/>
    <s v=""/>
    <n v="3.2800000000000011"/>
    <x v="704"/>
    <n v="4349.2800000000016"/>
  </r>
  <r>
    <s v="PO-00706"/>
    <x v="1"/>
    <x v="449"/>
    <x v="429"/>
    <x v="1"/>
    <x v="0"/>
    <n v="548"/>
    <n v="69.7"/>
    <n v="61.87"/>
    <n v="90"/>
    <x v="0"/>
    <n v="13"/>
    <n v="7.8300000000000054"/>
    <x v="705"/>
    <n v="4290.8400000000029"/>
  </r>
  <r>
    <s v="PO-00707"/>
    <x v="3"/>
    <x v="79"/>
    <x v="430"/>
    <x v="1"/>
    <x v="1"/>
    <n v="803"/>
    <n v="67.81"/>
    <n v="61.53"/>
    <n v="78"/>
    <x v="0"/>
    <n v="6"/>
    <n v="6.2800000000000011"/>
    <x v="706"/>
    <n v="5042.8400000000011"/>
  </r>
  <r>
    <s v="PO-00708"/>
    <x v="0"/>
    <x v="20"/>
    <x v="2"/>
    <x v="1"/>
    <x v="1"/>
    <n v="84"/>
    <n v="18.23"/>
    <n v="15.55"/>
    <n v="0"/>
    <x v="0"/>
    <n v="18"/>
    <n v="2.6799999999999997"/>
    <x v="707"/>
    <n v="225.11999999999998"/>
  </r>
  <r>
    <s v="PO-00709"/>
    <x v="4"/>
    <x v="450"/>
    <x v="382"/>
    <x v="2"/>
    <x v="1"/>
    <n v="776"/>
    <n v="94.75"/>
    <n v="90.89"/>
    <n v="19"/>
    <x v="0"/>
    <n v="12"/>
    <n v="3.8599999999999994"/>
    <x v="708"/>
    <n v="2995.3599999999997"/>
  </r>
  <r>
    <s v="PO-00710"/>
    <x v="0"/>
    <x v="451"/>
    <x v="431"/>
    <x v="1"/>
    <x v="1"/>
    <n v="898"/>
    <n v="37.119999999999997"/>
    <n v="35.54"/>
    <n v="18"/>
    <x v="1"/>
    <n v="9"/>
    <n v="1.5799999999999983"/>
    <x v="709"/>
    <n v="1418.8399999999986"/>
  </r>
  <r>
    <s v="PO-00711"/>
    <x v="3"/>
    <x v="452"/>
    <x v="432"/>
    <x v="0"/>
    <x v="0"/>
    <n v="139"/>
    <n v="23.71"/>
    <n v="20.18"/>
    <n v="14"/>
    <x v="0"/>
    <n v="7"/>
    <n v="3.5300000000000011"/>
    <x v="710"/>
    <n v="490.67000000000019"/>
  </r>
  <r>
    <s v="PO-00712"/>
    <x v="2"/>
    <x v="453"/>
    <x v="13"/>
    <x v="3"/>
    <x v="1"/>
    <n v="825"/>
    <n v="99.89"/>
    <n v="97.65"/>
    <n v="30"/>
    <x v="0"/>
    <s v=""/>
    <n v="2.2399999999999949"/>
    <x v="711"/>
    <n v="1847.9999999999957"/>
  </r>
  <r>
    <s v="PO-00713"/>
    <x v="0"/>
    <x v="20"/>
    <x v="433"/>
    <x v="1"/>
    <x v="1"/>
    <n v="654"/>
    <n v="96.01"/>
    <n v="90.31"/>
    <n v="10"/>
    <x v="0"/>
    <n v="10"/>
    <n v="5.7000000000000028"/>
    <x v="712"/>
    <n v="3727.800000000002"/>
  </r>
  <r>
    <s v="PO-00714"/>
    <x v="2"/>
    <x v="454"/>
    <x v="150"/>
    <x v="1"/>
    <x v="1"/>
    <n v="1995"/>
    <n v="88.47"/>
    <n v="82.65"/>
    <n v="87"/>
    <x v="1"/>
    <n v="10"/>
    <n v="5.8199999999999932"/>
    <x v="713"/>
    <n v="11610.899999999987"/>
  </r>
  <r>
    <s v="PO-00715"/>
    <x v="3"/>
    <x v="103"/>
    <x v="62"/>
    <x v="1"/>
    <x v="1"/>
    <n v="1019"/>
    <n v="91.56"/>
    <n v="77.930000000000007"/>
    <n v="111"/>
    <x v="1"/>
    <n v="7"/>
    <n v="13.629999999999995"/>
    <x v="714"/>
    <n v="13888.969999999996"/>
  </r>
  <r>
    <s v="PO-00716"/>
    <x v="4"/>
    <x v="111"/>
    <x v="339"/>
    <x v="2"/>
    <x v="3"/>
    <n v="1675"/>
    <n v="73.8"/>
    <n v="65.34"/>
    <n v="42"/>
    <x v="0"/>
    <n v="16"/>
    <n v="8.4599999999999937"/>
    <x v="715"/>
    <n v="14170.499999999989"/>
  </r>
  <r>
    <s v="PO-00717"/>
    <x v="2"/>
    <x v="455"/>
    <x v="409"/>
    <x v="3"/>
    <x v="3"/>
    <n v="1071"/>
    <n v="60.77"/>
    <n v="58.5"/>
    <m/>
    <x v="0"/>
    <n v="12"/>
    <n v="2.2700000000000031"/>
    <x v="716"/>
    <n v="2431.1700000000033"/>
  </r>
  <r>
    <s v="PO-00718"/>
    <x v="3"/>
    <x v="456"/>
    <x v="61"/>
    <x v="0"/>
    <x v="1"/>
    <n v="467"/>
    <n v="19.170000000000002"/>
    <n v="17.11"/>
    <n v="49"/>
    <x v="0"/>
    <n v="9"/>
    <n v="2.0600000000000023"/>
    <x v="717"/>
    <n v="962.02000000000112"/>
  </r>
  <r>
    <s v="PO-00719"/>
    <x v="1"/>
    <x v="457"/>
    <x v="324"/>
    <x v="1"/>
    <x v="3"/>
    <n v="164"/>
    <n v="48.16"/>
    <n v="47.46"/>
    <n v="27"/>
    <x v="0"/>
    <n v="19"/>
    <n v="0.69999999999999574"/>
    <x v="718"/>
    <n v="114.7999999999993"/>
  </r>
  <r>
    <s v="PO-00720"/>
    <x v="4"/>
    <x v="228"/>
    <x v="223"/>
    <x v="4"/>
    <x v="0"/>
    <n v="666"/>
    <n v="43.76"/>
    <n v="41.13"/>
    <n v="18"/>
    <x v="0"/>
    <n v="13"/>
    <n v="2.6299999999999955"/>
    <x v="719"/>
    <n v="1751.579999999997"/>
  </r>
  <r>
    <s v="PO-00721"/>
    <x v="1"/>
    <x v="458"/>
    <x v="267"/>
    <x v="2"/>
    <x v="2"/>
    <n v="1976"/>
    <n v="34.71"/>
    <n v="31.56"/>
    <n v="286"/>
    <x v="1"/>
    <n v="13"/>
    <n v="3.1500000000000021"/>
    <x v="720"/>
    <n v="6224.4000000000042"/>
  </r>
  <r>
    <s v="PO-00722"/>
    <x v="4"/>
    <x v="82"/>
    <x v="434"/>
    <x v="1"/>
    <x v="1"/>
    <n v="1269"/>
    <n v="79.61"/>
    <n v="71.86"/>
    <n v="47"/>
    <x v="0"/>
    <n v="5"/>
    <n v="7.75"/>
    <x v="721"/>
    <n v="9834.75"/>
  </r>
  <r>
    <s v="PO-00723"/>
    <x v="4"/>
    <x v="459"/>
    <x v="348"/>
    <x v="1"/>
    <x v="1"/>
    <n v="875"/>
    <n v="57.63"/>
    <n v="51.8"/>
    <n v="16"/>
    <x v="0"/>
    <n v="10"/>
    <n v="5.8300000000000054"/>
    <x v="722"/>
    <n v="5101.2500000000045"/>
  </r>
  <r>
    <s v="PO-00724"/>
    <x v="0"/>
    <x v="96"/>
    <x v="13"/>
    <x v="2"/>
    <x v="2"/>
    <n v="1574"/>
    <n v="17.899999999999999"/>
    <n v="15.85"/>
    <n v="31"/>
    <x v="0"/>
    <s v=""/>
    <n v="2.0499999999999989"/>
    <x v="723"/>
    <n v="3226.6999999999985"/>
  </r>
  <r>
    <s v="PO-00725"/>
    <x v="4"/>
    <x v="239"/>
    <x v="76"/>
    <x v="0"/>
    <x v="2"/>
    <n v="1699"/>
    <n v="32.049999999999997"/>
    <n v="29.34"/>
    <n v="69"/>
    <x v="0"/>
    <n v="15"/>
    <n v="2.7099999999999973"/>
    <x v="724"/>
    <n v="4604.2899999999954"/>
  </r>
  <r>
    <s v="PO-00726"/>
    <x v="0"/>
    <x v="371"/>
    <x v="413"/>
    <x v="4"/>
    <x v="1"/>
    <n v="1566"/>
    <n v="75.430000000000007"/>
    <n v="71.27"/>
    <n v="27"/>
    <x v="0"/>
    <n v="16"/>
    <n v="4.1600000000000108"/>
    <x v="725"/>
    <n v="6514.5600000000168"/>
  </r>
  <r>
    <s v="PO-00727"/>
    <x v="2"/>
    <x v="460"/>
    <x v="435"/>
    <x v="4"/>
    <x v="1"/>
    <n v="1148"/>
    <n v="17.78"/>
    <n v="17.16"/>
    <n v="61"/>
    <x v="0"/>
    <n v="18"/>
    <n v="0.62000000000000099"/>
    <x v="726"/>
    <n v="711.76000000000113"/>
  </r>
  <r>
    <s v="PO-00728"/>
    <x v="4"/>
    <x v="82"/>
    <x v="77"/>
    <x v="0"/>
    <x v="1"/>
    <n v="462"/>
    <n v="91.81"/>
    <n v="83.14"/>
    <n v="11"/>
    <x v="0"/>
    <n v="18"/>
    <n v="8.6700000000000017"/>
    <x v="727"/>
    <n v="4005.5400000000009"/>
  </r>
  <r>
    <s v="PO-00729"/>
    <x v="2"/>
    <x v="29"/>
    <x v="327"/>
    <x v="2"/>
    <x v="1"/>
    <n v="1449"/>
    <n v="57.02"/>
    <n v="49.28"/>
    <n v="71"/>
    <x v="0"/>
    <n v="5"/>
    <n v="7.740000000000002"/>
    <x v="728"/>
    <n v="11215.260000000002"/>
  </r>
  <r>
    <s v="PO-00730"/>
    <x v="4"/>
    <x v="461"/>
    <x v="415"/>
    <x v="1"/>
    <x v="1"/>
    <n v="1493"/>
    <n v="56.98"/>
    <n v="52.51"/>
    <n v="43"/>
    <x v="0"/>
    <n v="19"/>
    <n v="4.4699999999999989"/>
    <x v="729"/>
    <n v="6673.7099999999982"/>
  </r>
  <r>
    <s v="PO-00731"/>
    <x v="0"/>
    <x v="462"/>
    <x v="293"/>
    <x v="0"/>
    <x v="1"/>
    <n v="778"/>
    <n v="65.849999999999994"/>
    <n v="62.08"/>
    <m/>
    <x v="1"/>
    <n v="2"/>
    <n v="3.769999999999996"/>
    <x v="730"/>
    <n v="2933.0599999999968"/>
  </r>
  <r>
    <s v="PO-00732"/>
    <x v="1"/>
    <x v="266"/>
    <x v="57"/>
    <x v="2"/>
    <x v="2"/>
    <n v="1350"/>
    <n v="85.06"/>
    <n v="82.34"/>
    <m/>
    <x v="1"/>
    <n v="17"/>
    <n v="2.7199999999999989"/>
    <x v="731"/>
    <n v="3671.9999999999986"/>
  </r>
  <r>
    <s v="PO-00733"/>
    <x v="4"/>
    <x v="341"/>
    <x v="392"/>
    <x v="2"/>
    <x v="1"/>
    <n v="1070"/>
    <n v="44.4"/>
    <n v="40.07"/>
    <n v="26"/>
    <x v="0"/>
    <n v="8"/>
    <n v="4.3299999999999983"/>
    <x v="732"/>
    <n v="4633.0999999999985"/>
  </r>
  <r>
    <s v="PO-00734"/>
    <x v="3"/>
    <x v="152"/>
    <x v="314"/>
    <x v="2"/>
    <x v="3"/>
    <n v="810"/>
    <n v="71.02"/>
    <n v="66.8"/>
    <n v="73"/>
    <x v="0"/>
    <n v="14"/>
    <n v="4.2199999999999989"/>
    <x v="733"/>
    <n v="3418.1999999999989"/>
  </r>
  <r>
    <s v="PO-00735"/>
    <x v="1"/>
    <x v="146"/>
    <x v="436"/>
    <x v="2"/>
    <x v="0"/>
    <n v="725"/>
    <n v="66.400000000000006"/>
    <n v="62.1"/>
    <n v="118"/>
    <x v="0"/>
    <n v="16"/>
    <n v="4.3000000000000043"/>
    <x v="734"/>
    <n v="3117.5000000000032"/>
  </r>
  <r>
    <s v="PO-00736"/>
    <x v="0"/>
    <x v="463"/>
    <x v="106"/>
    <x v="4"/>
    <x v="1"/>
    <n v="1467"/>
    <n v="34.200000000000003"/>
    <n v="30.5"/>
    <n v="25"/>
    <x v="0"/>
    <n v="5"/>
    <n v="3.7000000000000028"/>
    <x v="735"/>
    <n v="5427.9000000000042"/>
  </r>
  <r>
    <s v="PO-00737"/>
    <x v="3"/>
    <x v="345"/>
    <x v="437"/>
    <x v="2"/>
    <x v="1"/>
    <n v="1942"/>
    <n v="93.98"/>
    <n v="81.31"/>
    <n v="198"/>
    <x v="0"/>
    <n v="18"/>
    <n v="12.670000000000002"/>
    <x v="736"/>
    <n v="24605.140000000003"/>
  </r>
  <r>
    <s v="PO-00738"/>
    <x v="2"/>
    <x v="464"/>
    <x v="13"/>
    <x v="0"/>
    <x v="1"/>
    <n v="506"/>
    <n v="84.63"/>
    <n v="72.69"/>
    <n v="20"/>
    <x v="0"/>
    <s v=""/>
    <n v="11.939999999999998"/>
    <x v="737"/>
    <n v="6041.6399999999985"/>
  </r>
  <r>
    <s v="PO-00739"/>
    <x v="0"/>
    <x v="23"/>
    <x v="201"/>
    <x v="1"/>
    <x v="1"/>
    <n v="969"/>
    <n v="76.53"/>
    <n v="75.64"/>
    <n v="30"/>
    <x v="0"/>
    <n v="16"/>
    <n v="0.89000000000000057"/>
    <x v="738"/>
    <n v="862.41000000000054"/>
  </r>
  <r>
    <s v="PO-00740"/>
    <x v="1"/>
    <x v="160"/>
    <x v="438"/>
    <x v="1"/>
    <x v="1"/>
    <n v="241"/>
    <n v="87.42"/>
    <n v="82.15"/>
    <m/>
    <x v="0"/>
    <n v="7"/>
    <n v="5.269999999999996"/>
    <x v="739"/>
    <n v="1270.069999999999"/>
  </r>
  <r>
    <s v="PO-00741"/>
    <x v="2"/>
    <x v="229"/>
    <x v="91"/>
    <x v="3"/>
    <x v="1"/>
    <n v="788"/>
    <n v="97.3"/>
    <n v="94.44"/>
    <n v="32"/>
    <x v="0"/>
    <n v="10"/>
    <n v="2.8599999999999994"/>
    <x v="740"/>
    <n v="2253.6799999999994"/>
  </r>
  <r>
    <s v="PO-00742"/>
    <x v="2"/>
    <x v="465"/>
    <x v="183"/>
    <x v="0"/>
    <x v="1"/>
    <n v="1762"/>
    <n v="74.12"/>
    <n v="65.709999999999994"/>
    <n v="94"/>
    <x v="0"/>
    <n v="2"/>
    <n v="8.4100000000000108"/>
    <x v="741"/>
    <n v="14818.420000000018"/>
  </r>
  <r>
    <s v="PO-00743"/>
    <x v="0"/>
    <x v="466"/>
    <x v="13"/>
    <x v="3"/>
    <x v="3"/>
    <n v="1172"/>
    <n v="85.76"/>
    <n v="81.430000000000007"/>
    <n v="25"/>
    <x v="0"/>
    <s v=""/>
    <n v="4.3299999999999983"/>
    <x v="742"/>
    <n v="5074.7599999999984"/>
  </r>
  <r>
    <s v="PO-00744"/>
    <x v="1"/>
    <x v="180"/>
    <x v="439"/>
    <x v="0"/>
    <x v="1"/>
    <n v="1621"/>
    <n v="75.680000000000007"/>
    <n v="73.78"/>
    <n v="226"/>
    <x v="1"/>
    <n v="19"/>
    <n v="1.9000000000000057"/>
    <x v="743"/>
    <n v="3079.9000000000092"/>
  </r>
  <r>
    <s v="PO-00745"/>
    <x v="0"/>
    <x v="343"/>
    <x v="440"/>
    <x v="2"/>
    <x v="1"/>
    <n v="1027"/>
    <n v="73.349999999999994"/>
    <n v="65.42"/>
    <n v="24"/>
    <x v="1"/>
    <n v="2"/>
    <n v="7.9299999999999926"/>
    <x v="744"/>
    <n v="8144.1099999999924"/>
  </r>
  <r>
    <s v="PO-00746"/>
    <x v="3"/>
    <x v="440"/>
    <x v="13"/>
    <x v="3"/>
    <x v="1"/>
    <n v="1058"/>
    <n v="65.680000000000007"/>
    <n v="57.21"/>
    <n v="101"/>
    <x v="0"/>
    <s v=""/>
    <n v="8.470000000000006"/>
    <x v="745"/>
    <n v="8961.2600000000057"/>
  </r>
  <r>
    <s v="PO-00747"/>
    <x v="3"/>
    <x v="279"/>
    <x v="132"/>
    <x v="2"/>
    <x v="1"/>
    <n v="145"/>
    <n v="85.52"/>
    <n v="81.86"/>
    <n v="11"/>
    <x v="1"/>
    <n v="6"/>
    <n v="3.6599999999999966"/>
    <x v="746"/>
    <n v="530.69999999999948"/>
  </r>
  <r>
    <s v="PO-00748"/>
    <x v="4"/>
    <x v="120"/>
    <x v="13"/>
    <x v="0"/>
    <x v="1"/>
    <n v="1737"/>
    <n v="24.88"/>
    <n v="24.28"/>
    <n v="46"/>
    <x v="0"/>
    <s v=""/>
    <n v="0.59999999999999787"/>
    <x v="747"/>
    <n v="1042.1999999999964"/>
  </r>
  <r>
    <s v="PO-00749"/>
    <x v="2"/>
    <x v="272"/>
    <x v="245"/>
    <x v="4"/>
    <x v="1"/>
    <n v="712"/>
    <n v="92.85"/>
    <n v="89.39"/>
    <n v="43"/>
    <x v="0"/>
    <n v="13"/>
    <n v="3.4599999999999937"/>
    <x v="748"/>
    <n v="2463.5199999999954"/>
  </r>
  <r>
    <s v="PO-00750"/>
    <x v="4"/>
    <x v="467"/>
    <x v="441"/>
    <x v="4"/>
    <x v="1"/>
    <n v="1263"/>
    <n v="90.24"/>
    <n v="86.84"/>
    <n v="28"/>
    <x v="0"/>
    <n v="6"/>
    <n v="3.3999999999999915"/>
    <x v="749"/>
    <n v="4294.1999999999889"/>
  </r>
  <r>
    <s v="PO-00751"/>
    <x v="1"/>
    <x v="202"/>
    <x v="13"/>
    <x v="4"/>
    <x v="1"/>
    <n v="1809"/>
    <n v="13.58"/>
    <n v="12.68"/>
    <m/>
    <x v="1"/>
    <s v=""/>
    <n v="0.90000000000000036"/>
    <x v="750"/>
    <n v="1628.1000000000006"/>
  </r>
  <r>
    <s v="PO-00752"/>
    <x v="3"/>
    <x v="197"/>
    <x v="13"/>
    <x v="4"/>
    <x v="0"/>
    <n v="86"/>
    <n v="93.6"/>
    <n v="88.22"/>
    <n v="5"/>
    <x v="0"/>
    <s v=""/>
    <n v="5.3799999999999955"/>
    <x v="751"/>
    <n v="462.67999999999961"/>
  </r>
  <r>
    <s v="PO-00753"/>
    <x v="4"/>
    <x v="132"/>
    <x v="13"/>
    <x v="1"/>
    <x v="1"/>
    <n v="1853"/>
    <n v="21.92"/>
    <n v="20.72"/>
    <m/>
    <x v="0"/>
    <s v=""/>
    <n v="1.2000000000000028"/>
    <x v="752"/>
    <n v="2223.6000000000054"/>
  </r>
  <r>
    <s v="PO-00754"/>
    <x v="3"/>
    <x v="452"/>
    <x v="303"/>
    <x v="4"/>
    <x v="1"/>
    <n v="1442"/>
    <n v="43.98"/>
    <n v="41.82"/>
    <n v="140"/>
    <x v="1"/>
    <n v="1"/>
    <n v="2.1599999999999966"/>
    <x v="753"/>
    <n v="3114.7199999999953"/>
  </r>
  <r>
    <s v="PO-00755"/>
    <x v="3"/>
    <x v="16"/>
    <x v="81"/>
    <x v="0"/>
    <x v="3"/>
    <n v="1768"/>
    <n v="79.61"/>
    <n v="74.97"/>
    <n v="207"/>
    <x v="1"/>
    <n v="20"/>
    <n v="4.6400000000000006"/>
    <x v="754"/>
    <n v="8203.52"/>
  </r>
  <r>
    <s v="PO-00756"/>
    <x v="3"/>
    <x v="385"/>
    <x v="442"/>
    <x v="4"/>
    <x v="2"/>
    <n v="1598"/>
    <n v="26.3"/>
    <n v="26.03"/>
    <n v="154"/>
    <x v="1"/>
    <n v="11"/>
    <n v="0.26999999999999957"/>
    <x v="755"/>
    <n v="431.4599999999993"/>
  </r>
  <r>
    <s v="PO-00757"/>
    <x v="0"/>
    <x v="468"/>
    <x v="443"/>
    <x v="1"/>
    <x v="0"/>
    <n v="328"/>
    <n v="93.23"/>
    <n v="82.63"/>
    <n v="6"/>
    <x v="0"/>
    <n v="18"/>
    <n v="10.600000000000009"/>
    <x v="756"/>
    <n v="3476.8000000000029"/>
  </r>
  <r>
    <s v="PO-00758"/>
    <x v="4"/>
    <x v="469"/>
    <x v="444"/>
    <x v="2"/>
    <x v="1"/>
    <n v="266"/>
    <n v="88.29"/>
    <n v="80.22"/>
    <n v="4"/>
    <x v="0"/>
    <n v="5"/>
    <n v="8.0700000000000074"/>
    <x v="757"/>
    <n v="2146.6200000000022"/>
  </r>
  <r>
    <s v="PO-00759"/>
    <x v="2"/>
    <x v="470"/>
    <x v="63"/>
    <x v="3"/>
    <x v="1"/>
    <n v="916"/>
    <n v="59.01"/>
    <n v="53.37"/>
    <n v="47"/>
    <x v="0"/>
    <n v="15"/>
    <n v="5.6400000000000006"/>
    <x v="758"/>
    <n v="5166.2400000000007"/>
  </r>
  <r>
    <s v="PO-00760"/>
    <x v="4"/>
    <x v="471"/>
    <x v="271"/>
    <x v="2"/>
    <x v="0"/>
    <n v="922"/>
    <n v="10.84"/>
    <n v="9.27"/>
    <n v="29"/>
    <x v="0"/>
    <n v="4"/>
    <n v="1.5700000000000003"/>
    <x v="759"/>
    <n v="1447.5400000000002"/>
  </r>
  <r>
    <s v="PO-00761"/>
    <x v="2"/>
    <x v="359"/>
    <x v="445"/>
    <x v="2"/>
    <x v="1"/>
    <n v="1871"/>
    <n v="39.42"/>
    <n v="37.409999999999997"/>
    <n v="101"/>
    <x v="1"/>
    <n v="15"/>
    <n v="2.0100000000000051"/>
    <x v="760"/>
    <n v="3760.7100000000096"/>
  </r>
  <r>
    <s v="PO-00762"/>
    <x v="4"/>
    <x v="169"/>
    <x v="160"/>
    <x v="3"/>
    <x v="1"/>
    <n v="1346"/>
    <n v="72.08"/>
    <n v="67.040000000000006"/>
    <n v="38"/>
    <x v="0"/>
    <n v="6"/>
    <n v="5.039999999999992"/>
    <x v="761"/>
    <n v="6783.8399999999892"/>
  </r>
  <r>
    <s v="PO-00763"/>
    <x v="4"/>
    <x v="132"/>
    <x v="107"/>
    <x v="4"/>
    <x v="1"/>
    <n v="1954"/>
    <n v="99.78"/>
    <n v="87.47"/>
    <n v="57"/>
    <x v="0"/>
    <n v="11"/>
    <n v="12.310000000000002"/>
    <x v="762"/>
    <n v="24053.740000000005"/>
  </r>
  <r>
    <s v="PO-00764"/>
    <x v="3"/>
    <x v="80"/>
    <x v="75"/>
    <x v="4"/>
    <x v="1"/>
    <n v="111"/>
    <n v="68.53"/>
    <n v="65.22"/>
    <n v="11"/>
    <x v="0"/>
    <n v="19"/>
    <n v="3.3100000000000023"/>
    <x v="763"/>
    <n v="367.41000000000025"/>
  </r>
  <r>
    <s v="PO-00765"/>
    <x v="2"/>
    <x v="472"/>
    <x v="446"/>
    <x v="0"/>
    <x v="3"/>
    <n v="645"/>
    <n v="35.049999999999997"/>
    <n v="30.88"/>
    <n v="27"/>
    <x v="0"/>
    <n v="7"/>
    <n v="4.1699999999999982"/>
    <x v="764"/>
    <n v="2689.6499999999987"/>
  </r>
  <r>
    <s v="PO-00766"/>
    <x v="2"/>
    <x v="338"/>
    <x v="447"/>
    <x v="4"/>
    <x v="0"/>
    <n v="1953"/>
    <n v="68.069999999999993"/>
    <n v="62.95"/>
    <n v="87"/>
    <x v="0"/>
    <n v="13"/>
    <n v="5.1199999999999903"/>
    <x v="765"/>
    <n v="9999.3599999999806"/>
  </r>
  <r>
    <s v="PO-00767"/>
    <x v="2"/>
    <x v="262"/>
    <x v="448"/>
    <x v="4"/>
    <x v="1"/>
    <n v="778"/>
    <n v="64.17"/>
    <n v="61.6"/>
    <n v="47"/>
    <x v="0"/>
    <n v="17"/>
    <n v="2.5700000000000003"/>
    <x v="766"/>
    <n v="1999.4600000000003"/>
  </r>
  <r>
    <s v="PO-00768"/>
    <x v="4"/>
    <x v="473"/>
    <x v="449"/>
    <x v="0"/>
    <x v="1"/>
    <n v="1415"/>
    <n v="80.19"/>
    <n v="78.34"/>
    <m/>
    <x v="0"/>
    <n v="13"/>
    <n v="1.8499999999999943"/>
    <x v="767"/>
    <n v="2617.7499999999918"/>
  </r>
  <r>
    <s v="PO-00769"/>
    <x v="2"/>
    <x v="174"/>
    <x v="446"/>
    <x v="3"/>
    <x v="1"/>
    <n v="446"/>
    <n v="20.61"/>
    <n v="19.46"/>
    <n v="14"/>
    <x v="0"/>
    <n v="6"/>
    <n v="1.1499999999999986"/>
    <x v="768"/>
    <n v="512.89999999999941"/>
  </r>
  <r>
    <s v="PO-00770"/>
    <x v="4"/>
    <x v="400"/>
    <x v="13"/>
    <x v="0"/>
    <x v="1"/>
    <n v="748"/>
    <n v="85.95"/>
    <n v="79.16"/>
    <n v="32"/>
    <x v="0"/>
    <s v=""/>
    <n v="6.7900000000000063"/>
    <x v="769"/>
    <n v="5078.9200000000046"/>
  </r>
  <r>
    <s v="PO-00771"/>
    <x v="0"/>
    <x v="374"/>
    <x v="260"/>
    <x v="4"/>
    <x v="3"/>
    <n v="1092"/>
    <n v="65.17"/>
    <n v="63.11"/>
    <n v="21"/>
    <x v="0"/>
    <n v="8"/>
    <n v="2.0600000000000023"/>
    <x v="770"/>
    <n v="2249.5200000000023"/>
  </r>
  <r>
    <s v="PO-00772"/>
    <x v="3"/>
    <x v="474"/>
    <x v="38"/>
    <x v="4"/>
    <x v="1"/>
    <n v="226"/>
    <n v="102.47"/>
    <n v="99.16"/>
    <n v="28"/>
    <x v="0"/>
    <n v="13"/>
    <n v="3.3100000000000023"/>
    <x v="771"/>
    <n v="748.06000000000051"/>
  </r>
  <r>
    <s v="PO-00773"/>
    <x v="1"/>
    <x v="475"/>
    <x v="382"/>
    <x v="4"/>
    <x v="1"/>
    <n v="1685"/>
    <n v="43.42"/>
    <n v="42.24"/>
    <n v="262"/>
    <x v="0"/>
    <n v="9"/>
    <n v="1.1799999999999997"/>
    <x v="772"/>
    <n v="1988.2999999999995"/>
  </r>
  <r>
    <s v="PO-00774"/>
    <x v="0"/>
    <x v="22"/>
    <x v="13"/>
    <x v="0"/>
    <x v="1"/>
    <n v="445"/>
    <n v="68.94"/>
    <n v="60.35"/>
    <n v="7"/>
    <x v="0"/>
    <s v=""/>
    <n v="8.5899999999999963"/>
    <x v="773"/>
    <n v="3822.5499999999984"/>
  </r>
  <r>
    <s v="PO-00775"/>
    <x v="2"/>
    <x v="225"/>
    <x v="216"/>
    <x v="3"/>
    <x v="1"/>
    <n v="494"/>
    <n v="94.82"/>
    <n v="81.89"/>
    <n v="29"/>
    <x v="0"/>
    <n v="19"/>
    <n v="12.929999999999993"/>
    <x v="774"/>
    <n v="6387.4199999999964"/>
  </r>
  <r>
    <s v="PO-00776"/>
    <x v="3"/>
    <x v="451"/>
    <x v="11"/>
    <x v="1"/>
    <x v="1"/>
    <n v="1306"/>
    <n v="21.05"/>
    <n v="18.27"/>
    <n v="128"/>
    <x v="0"/>
    <n v="12"/>
    <n v="2.7800000000000011"/>
    <x v="775"/>
    <n v="3630.6800000000017"/>
  </r>
  <r>
    <s v="PO-00777"/>
    <x v="3"/>
    <x v="319"/>
    <x v="345"/>
    <x v="0"/>
    <x v="1"/>
    <n v="1988"/>
    <n v="105.2"/>
    <n v="93.23"/>
    <n v="187"/>
    <x v="0"/>
    <n v="2"/>
    <n v="11.969999999999999"/>
    <x v="776"/>
    <n v="23796.35999999999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s v="PO-00001"/>
    <s v="Alpha_Inc"/>
    <x v="0"/>
    <x v="0"/>
    <s v="Office Supplies"/>
    <s v="Cancelled"/>
    <n v="1176"/>
    <n v="20.13"/>
    <n v="17.809999999999999"/>
    <m/>
    <x v="0"/>
  </r>
  <r>
    <s v="PO-00002"/>
    <s v="Delta_Logistics"/>
    <x v="1"/>
    <x v="1"/>
    <s v="Office Supplies"/>
    <s v="Delivered"/>
    <n v="1509"/>
    <n v="39.32"/>
    <n v="37.340000000000003"/>
    <n v="235"/>
    <x v="0"/>
  </r>
  <r>
    <s v="PO-00003"/>
    <s v="Gamma_Co"/>
    <x v="2"/>
    <x v="2"/>
    <s v="MRO"/>
    <s v="Delivered"/>
    <n v="910"/>
    <n v="95.51"/>
    <n v="92.26"/>
    <n v="41"/>
    <x v="0"/>
  </r>
  <r>
    <s v="PO-00004"/>
    <s v="Beta_Supplies"/>
    <x v="3"/>
    <x v="3"/>
    <s v="Packaging"/>
    <s v="Delivered"/>
    <n v="1344"/>
    <n v="99.85"/>
    <n v="95.52"/>
    <n v="112"/>
    <x v="0"/>
  </r>
  <r>
    <s v="PO-00005"/>
    <s v="Delta_Logistics"/>
    <x v="4"/>
    <x v="4"/>
    <s v="Raw Materials"/>
    <s v="Delivered"/>
    <n v="1180"/>
    <n v="64.069999999999993"/>
    <n v="60.53"/>
    <n v="171"/>
    <x v="1"/>
  </r>
  <r>
    <s v="PO-00006"/>
    <s v="Epsilon_Group"/>
    <x v="5"/>
    <x v="5"/>
    <s v="MRO"/>
    <s v="Delivered"/>
    <n v="1145"/>
    <n v="69.209999999999994"/>
    <n v="63.57"/>
    <n v="39"/>
    <x v="0"/>
  </r>
  <r>
    <s v="PO-00007"/>
    <s v="Gamma_Co"/>
    <x v="6"/>
    <x v="6"/>
    <s v="MRO"/>
    <s v="Delivered"/>
    <n v="1774"/>
    <n v="51.37"/>
    <n v="47.82"/>
    <n v="96"/>
    <x v="1"/>
  </r>
  <r>
    <s v="PO-00008"/>
    <s v="Alpha_Inc"/>
    <x v="7"/>
    <x v="7"/>
    <s v="MRO"/>
    <s v="Delivered"/>
    <n v="1094"/>
    <n v="36.93"/>
    <n v="32.78"/>
    <n v="22"/>
    <x v="0"/>
  </r>
  <r>
    <s v="PO-00009"/>
    <s v="Gamma_Co"/>
    <x v="8"/>
    <x v="8"/>
    <s v="Raw Materials"/>
    <s v="Partially Delivered"/>
    <n v="1688"/>
    <n v="43.93"/>
    <n v="39.89"/>
    <n v="89"/>
    <x v="0"/>
  </r>
  <r>
    <s v="PO-00010"/>
    <s v="Gamma_Co"/>
    <x v="9"/>
    <x v="9"/>
    <s v="Raw Materials"/>
    <s v="Pending"/>
    <n v="171"/>
    <n v="76.87"/>
    <n v="70.2"/>
    <n v="8"/>
    <x v="0"/>
  </r>
  <r>
    <s v="PO-00011"/>
    <s v="Epsilon_Group"/>
    <x v="10"/>
    <x v="10"/>
    <s v="Raw Materials"/>
    <s v="Delivered"/>
    <n v="5000"/>
    <n v="78.489999999999995"/>
    <n v="73.680000000000007"/>
    <n v="18"/>
    <x v="0"/>
  </r>
  <r>
    <s v="PO-00012"/>
    <s v="Beta_Supplies"/>
    <x v="11"/>
    <x v="11"/>
    <s v="Raw Materials"/>
    <s v="Delivered"/>
    <n v="5000"/>
    <n v="88.96"/>
    <n v="86.58"/>
    <n v="115"/>
    <x v="0"/>
  </r>
  <r>
    <s v="PO-00013"/>
    <s v="Beta_Supplies"/>
    <x v="12"/>
    <x v="12"/>
    <s v="Electronics"/>
    <s v="Pending"/>
    <n v="5000"/>
    <n v="86.74"/>
    <n v="74.86"/>
    <n v="51"/>
    <x v="0"/>
  </r>
  <r>
    <s v="PO-00014"/>
    <s v="Beta_Supplies"/>
    <x v="13"/>
    <x v="13"/>
    <s v="MRO"/>
    <s v="Delivered"/>
    <n v="5000"/>
    <n v="18.3"/>
    <n v="16.88"/>
    <m/>
    <x v="0"/>
  </r>
  <r>
    <s v="PO-00015"/>
    <s v="Delta_Logistics"/>
    <x v="14"/>
    <x v="14"/>
    <s v="Electronics"/>
    <s v="Pending"/>
    <n v="5000"/>
    <n v="54.5"/>
    <n v="48.45"/>
    <n v="22"/>
    <x v="0"/>
  </r>
  <r>
    <s v="PO-00016"/>
    <s v="Beta_Supplies"/>
    <x v="15"/>
    <x v="15"/>
    <s v="Packaging"/>
    <s v="Delivered"/>
    <n v="5000"/>
    <n v="15.41"/>
    <n v="15.12"/>
    <m/>
    <x v="0"/>
  </r>
  <r>
    <s v="PO-00017"/>
    <s v="Delta_Logistics"/>
    <x v="16"/>
    <x v="16"/>
    <s v="MRO"/>
    <s v="Delivered"/>
    <n v="1173"/>
    <n v="61.54"/>
    <n v="55.49"/>
    <n v="172"/>
    <x v="1"/>
  </r>
  <r>
    <s v="PO-00018"/>
    <s v="Epsilon_Group"/>
    <x v="17"/>
    <x v="17"/>
    <s v="Raw Materials"/>
    <s v="Delivered"/>
    <n v="921"/>
    <n v="51.48"/>
    <n v="50.61"/>
    <m/>
    <x v="0"/>
  </r>
  <r>
    <s v="PO-00019"/>
    <s v="Gamma_Co"/>
    <x v="18"/>
    <x v="18"/>
    <s v="Raw Materials"/>
    <s v="Partially Delivered"/>
    <n v="1737"/>
    <n v="97.53"/>
    <n v="87.37"/>
    <n v="79"/>
    <x v="0"/>
  </r>
  <r>
    <s v="PO-00020"/>
    <s v="Delta_Logistics"/>
    <x v="19"/>
    <x v="19"/>
    <s v="Raw Materials"/>
    <s v="Delivered"/>
    <n v="180"/>
    <n v="45.74"/>
    <n v="38.89"/>
    <m/>
    <x v="1"/>
  </r>
  <r>
    <s v="PO-00021"/>
    <s v="Epsilon_Group"/>
    <x v="20"/>
    <x v="20"/>
    <s v="Electronics"/>
    <s v="Cancelled"/>
    <n v="1735"/>
    <n v="20.54"/>
    <n v="19.690000000000001"/>
    <n v="49"/>
    <x v="0"/>
  </r>
  <r>
    <s v="PO-00022"/>
    <s v="Delta_Logistics"/>
    <x v="21"/>
    <x v="21"/>
    <s v="Raw Materials"/>
    <s v="Delivered"/>
    <n v="1382"/>
    <n v="24.93"/>
    <n v="23.75"/>
    <m/>
    <x v="0"/>
  </r>
  <r>
    <s v="PO-00023"/>
    <s v="Epsilon_Group"/>
    <x v="22"/>
    <x v="22"/>
    <s v="MRO"/>
    <s v="Delivered"/>
    <n v="819"/>
    <n v="80.89"/>
    <n v="77.03"/>
    <n v="29"/>
    <x v="0"/>
  </r>
  <r>
    <s v="PO-00024"/>
    <s v="Beta_Supplies"/>
    <x v="23"/>
    <x v="23"/>
    <s v="Office Supplies"/>
    <s v="Partially Delivered"/>
    <n v="393"/>
    <n v="72.53"/>
    <n v="66.31"/>
    <n v="42"/>
    <x v="1"/>
  </r>
  <r>
    <s v="PO-00025"/>
    <s v="Beta_Supplies"/>
    <x v="24"/>
    <x v="24"/>
    <s v="MRO"/>
    <s v="Delivered"/>
    <n v="1565"/>
    <n v="21.3"/>
    <n v="20.09"/>
    <n v="161"/>
    <x v="0"/>
  </r>
  <r>
    <s v="PO-00026"/>
    <s v="Epsilon_Group"/>
    <x v="9"/>
    <x v="25"/>
    <s v="Packaging"/>
    <s v="Delivered"/>
    <n v="1487"/>
    <n v="19.149999999999999"/>
    <n v="17.239999999999998"/>
    <m/>
    <x v="0"/>
  </r>
  <r>
    <s v="PO-00027"/>
    <s v="Alpha_Inc"/>
    <x v="25"/>
    <x v="12"/>
    <s v="MRO"/>
    <s v="Delivered"/>
    <n v="855"/>
    <n v="78.2"/>
    <n v="67.16"/>
    <n v="17"/>
    <x v="0"/>
  </r>
  <r>
    <s v="PO-00028"/>
    <s v="Epsilon_Group"/>
    <x v="26"/>
    <x v="26"/>
    <s v="Raw Materials"/>
    <s v="Delivered"/>
    <n v="435"/>
    <n v="17.13"/>
    <n v="15.84"/>
    <n v="8"/>
    <x v="0"/>
  </r>
  <r>
    <s v="PO-00029"/>
    <s v="Delta_Logistics"/>
    <x v="27"/>
    <x v="27"/>
    <s v="MRO"/>
    <s v="Delivered"/>
    <n v="1265"/>
    <n v="90.26"/>
    <n v="79.47"/>
    <n v="187"/>
    <x v="0"/>
  </r>
  <r>
    <s v="PO-00030"/>
    <s v="Epsilon_Group"/>
    <x v="28"/>
    <x v="13"/>
    <s v="MRO"/>
    <s v="Delivered"/>
    <n v="1005"/>
    <n v="80.55"/>
    <n v="73.31"/>
    <n v="30"/>
    <x v="0"/>
  </r>
  <r>
    <s v="PO-00031"/>
    <s v="Gamma_Co"/>
    <x v="29"/>
    <x v="28"/>
    <s v="Electronics"/>
    <s v="Delivered"/>
    <n v="326"/>
    <n v="18.100000000000001"/>
    <n v="15.92"/>
    <m/>
    <x v="1"/>
  </r>
  <r>
    <s v="PO-00032"/>
    <s v="Alpha_Inc"/>
    <x v="30"/>
    <x v="29"/>
    <s v="Office Supplies"/>
    <s v="Delivered"/>
    <n v="1234"/>
    <n v="17.64"/>
    <n v="15.66"/>
    <n v="26"/>
    <x v="0"/>
  </r>
  <r>
    <s v="PO-00033"/>
    <s v="Epsilon_Group"/>
    <x v="31"/>
    <x v="30"/>
    <s v="MRO"/>
    <s v="Delivered"/>
    <n v="509"/>
    <n v="101.27"/>
    <n v="97.82"/>
    <n v="19"/>
    <x v="0"/>
  </r>
  <r>
    <s v="PO-00034"/>
    <s v="Alpha_Inc"/>
    <x v="32"/>
    <x v="31"/>
    <s v="Packaging"/>
    <s v="Delivered"/>
    <n v="1387"/>
    <n v="48.71"/>
    <n v="43.71"/>
    <n v="27"/>
    <x v="0"/>
  </r>
  <r>
    <s v="PO-00035"/>
    <s v="Alpha_Inc"/>
    <x v="12"/>
    <x v="32"/>
    <s v="MRO"/>
    <s v="Delivered"/>
    <n v="71"/>
    <n v="46.39"/>
    <n v="43.18"/>
    <n v="0"/>
    <x v="0"/>
  </r>
  <r>
    <s v="PO-00036"/>
    <s v="Epsilon_Group"/>
    <x v="33"/>
    <x v="33"/>
    <s v="Office Supplies"/>
    <s v="Delivered"/>
    <n v="302"/>
    <n v="87.73"/>
    <n v="81.52"/>
    <n v="9"/>
    <x v="0"/>
  </r>
  <r>
    <s v="PO-00037"/>
    <s v="Epsilon_Group"/>
    <x v="29"/>
    <x v="34"/>
    <s v="Office Supplies"/>
    <s v="Pending"/>
    <n v="797"/>
    <n v="99.54"/>
    <n v="91.37"/>
    <n v="18"/>
    <x v="0"/>
  </r>
  <r>
    <s v="PO-00038"/>
    <s v="Beta_Supplies"/>
    <x v="34"/>
    <x v="35"/>
    <s v="Office Supplies"/>
    <s v="Pending"/>
    <n v="906"/>
    <n v="101.21"/>
    <n v="90.9"/>
    <n v="94"/>
    <x v="0"/>
  </r>
  <r>
    <s v="PO-00039"/>
    <s v="Epsilon_Group"/>
    <x v="35"/>
    <x v="26"/>
    <s v="Office Supplies"/>
    <s v="Delivered"/>
    <n v="1634"/>
    <n v="80.53"/>
    <n v="76.150000000000006"/>
    <n v="50"/>
    <x v="0"/>
  </r>
  <r>
    <s v="PO-00040"/>
    <s v="Epsilon_Group"/>
    <x v="36"/>
    <x v="13"/>
    <s v="Office Supplies"/>
    <s v="Delivered"/>
    <n v="524"/>
    <n v="46.28"/>
    <n v="39.65"/>
    <n v="14"/>
    <x v="0"/>
  </r>
  <r>
    <s v="PO-00041"/>
    <s v="Beta_Supplies"/>
    <x v="7"/>
    <x v="36"/>
    <s v="Electronics"/>
    <s v="Delivered"/>
    <n v="1132"/>
    <n v="17.78"/>
    <n v="15.36"/>
    <n v="96"/>
    <x v="0"/>
  </r>
  <r>
    <s v="PO-00042"/>
    <s v="Beta_Supplies"/>
    <x v="37"/>
    <x v="37"/>
    <s v="Office Supplies"/>
    <s v="Delivered"/>
    <n v="560"/>
    <n v="81.14"/>
    <n v="77.87"/>
    <n v="34"/>
    <x v="1"/>
  </r>
  <r>
    <s v="PO-00043"/>
    <s v="Gamma_Co"/>
    <x v="38"/>
    <x v="38"/>
    <s v="Electronics"/>
    <s v="Delivered"/>
    <n v="1755"/>
    <n v="63.87"/>
    <n v="58.4"/>
    <n v="85"/>
    <x v="0"/>
  </r>
  <r>
    <s v="PO-00044"/>
    <s v="Epsilon_Group"/>
    <x v="39"/>
    <x v="39"/>
    <s v="MRO"/>
    <s v="Delivered"/>
    <n v="1549"/>
    <n v="48.9"/>
    <n v="42.42"/>
    <n v="48"/>
    <x v="0"/>
  </r>
  <r>
    <s v="PO-00045"/>
    <s v="Delta_Logistics"/>
    <x v="40"/>
    <x v="40"/>
    <s v="MRO"/>
    <s v="Delivered"/>
    <n v="749"/>
    <n v="97.07"/>
    <n v="94.16"/>
    <n v="123"/>
    <x v="0"/>
  </r>
  <r>
    <s v="PO-00046"/>
    <s v="Alpha_Inc"/>
    <x v="41"/>
    <x v="13"/>
    <s v="Electronics"/>
    <s v="Delivered"/>
    <n v="1025"/>
    <n v="21.11"/>
    <n v="19.25"/>
    <n v="15"/>
    <x v="0"/>
  </r>
  <r>
    <s v="PO-00047"/>
    <s v="Beta_Supplies"/>
    <x v="42"/>
    <x v="41"/>
    <s v="Raw Materials"/>
    <s v="Delivered"/>
    <n v="1856"/>
    <n v="59.77"/>
    <n v="50.81"/>
    <n v="191"/>
    <x v="0"/>
  </r>
  <r>
    <s v="PO-00048"/>
    <s v="Epsilon_Group"/>
    <x v="43"/>
    <x v="42"/>
    <s v="Office Supplies"/>
    <s v="Delivered"/>
    <n v="239"/>
    <n v="11.46"/>
    <n v="11.28"/>
    <n v="4"/>
    <x v="0"/>
  </r>
  <r>
    <s v="PO-00049"/>
    <s v="Delta_Logistics"/>
    <x v="44"/>
    <x v="43"/>
    <s v="Office Supplies"/>
    <s v="Pending"/>
    <n v="1007"/>
    <n v="52.44"/>
    <n v="46.06"/>
    <n v="167"/>
    <x v="0"/>
  </r>
  <r>
    <s v="PO-00050"/>
    <s v="Alpha_Inc"/>
    <x v="45"/>
    <x v="13"/>
    <s v="MRO"/>
    <s v="Pending"/>
    <n v="736"/>
    <n v="16.2"/>
    <n v="15.33"/>
    <n v="18"/>
    <x v="0"/>
  </r>
  <r>
    <s v="PO-00051"/>
    <s v="Epsilon_Group"/>
    <x v="46"/>
    <x v="44"/>
    <s v="Electronics"/>
    <s v="Delivered"/>
    <n v="1007"/>
    <n v="22.56"/>
    <n v="19.59"/>
    <m/>
    <x v="0"/>
  </r>
  <r>
    <s v="PO-00052"/>
    <s v="Delta_Logistics"/>
    <x v="47"/>
    <x v="13"/>
    <s v="Office Supplies"/>
    <s v="Delivered"/>
    <n v="612"/>
    <n v="20.99"/>
    <n v="19.75"/>
    <n v="102"/>
    <x v="0"/>
  </r>
  <r>
    <s v="PO-00053"/>
    <s v="Alpha_Inc"/>
    <x v="48"/>
    <x v="38"/>
    <s v="MRO"/>
    <s v="Pending"/>
    <n v="1949"/>
    <n v="72.53"/>
    <n v="63.26"/>
    <n v="48"/>
    <x v="1"/>
  </r>
  <r>
    <s v="PO-00054"/>
    <s v="Delta_Logistics"/>
    <x v="49"/>
    <x v="45"/>
    <s v="Office Supplies"/>
    <s v="Cancelled"/>
    <n v="1640"/>
    <n v="77.92"/>
    <n v="76.41"/>
    <n v="262"/>
    <x v="1"/>
  </r>
  <r>
    <s v="PO-00055"/>
    <s v="Beta_Supplies"/>
    <x v="50"/>
    <x v="46"/>
    <s v="Electronics"/>
    <s v="Delivered"/>
    <n v="1317"/>
    <n v="68.13"/>
    <n v="60.52"/>
    <n v="136"/>
    <x v="0"/>
  </r>
  <r>
    <s v="PO-00056"/>
    <s v="Epsilon_Group"/>
    <x v="51"/>
    <x v="47"/>
    <s v="Raw Materials"/>
    <s v="Delivered"/>
    <n v="881"/>
    <n v="100.94"/>
    <n v="95.05"/>
    <n v="30"/>
    <x v="0"/>
  </r>
  <r>
    <s v="PO-00057"/>
    <s v="Delta_Logistics"/>
    <x v="52"/>
    <x v="13"/>
    <s v="Packaging"/>
    <s v="Delivered"/>
    <n v="1578"/>
    <n v="48.33"/>
    <n v="42.77"/>
    <n v="206"/>
    <x v="0"/>
  </r>
  <r>
    <s v="PO-00058"/>
    <s v="Delta_Logistics"/>
    <x v="53"/>
    <x v="48"/>
    <s v="MRO"/>
    <s v="Delivered"/>
    <n v="1204"/>
    <n v="39.29"/>
    <n v="35.44"/>
    <m/>
    <x v="0"/>
  </r>
  <r>
    <s v="PO-00059"/>
    <s v="Epsilon_Group"/>
    <x v="54"/>
    <x v="49"/>
    <s v="MRO"/>
    <s v="Pending"/>
    <n v="1558"/>
    <n v="93.46"/>
    <n v="91.27"/>
    <n v="39"/>
    <x v="0"/>
  </r>
  <r>
    <s v="PO-00060"/>
    <s v="Alpha_Inc"/>
    <x v="55"/>
    <x v="50"/>
    <s v="Packaging"/>
    <s v="Delivered"/>
    <n v="1892"/>
    <n v="32.99"/>
    <n v="28.81"/>
    <n v="35"/>
    <x v="0"/>
  </r>
  <r>
    <s v="PO-00061"/>
    <s v="Epsilon_Group"/>
    <x v="56"/>
    <x v="51"/>
    <s v="Packaging"/>
    <s v="Delivered"/>
    <n v="696"/>
    <n v="99.59"/>
    <n v="90.18"/>
    <n v="25"/>
    <x v="0"/>
  </r>
  <r>
    <s v="PO-00062"/>
    <s v="Delta_Logistics"/>
    <x v="57"/>
    <x v="52"/>
    <s v="MRO"/>
    <s v="Partially Delivered"/>
    <n v="70"/>
    <n v="12.37"/>
    <n v="11.04"/>
    <n v="10"/>
    <x v="0"/>
  </r>
  <r>
    <s v="PO-00063"/>
    <s v="Gamma_Co"/>
    <x v="58"/>
    <x v="53"/>
    <s v="Raw Materials"/>
    <s v="Delivered"/>
    <n v="890"/>
    <n v="98.26"/>
    <n v="93.14"/>
    <n v="49"/>
    <x v="0"/>
  </r>
  <r>
    <s v="PO-00064"/>
    <s v="Alpha_Inc"/>
    <x v="59"/>
    <x v="54"/>
    <s v="MRO"/>
    <s v="Delivered"/>
    <n v="216"/>
    <n v="13.95"/>
    <n v="12.31"/>
    <n v="5"/>
    <x v="0"/>
  </r>
  <r>
    <s v="PO-00065"/>
    <s v="Delta_Logistics"/>
    <x v="60"/>
    <x v="55"/>
    <s v="Packaging"/>
    <s v="Delivered"/>
    <n v="1347"/>
    <n v="100.13"/>
    <n v="94.3"/>
    <n v="200"/>
    <x v="0"/>
  </r>
  <r>
    <s v="PO-00066"/>
    <s v="Gamma_Co"/>
    <x v="61"/>
    <x v="56"/>
    <s v="Office Supplies"/>
    <s v="Partially Delivered"/>
    <n v="437"/>
    <n v="59.51"/>
    <n v="56.45"/>
    <n v="25"/>
    <x v="1"/>
  </r>
  <r>
    <s v="PO-00067"/>
    <s v="Alpha_Inc"/>
    <x v="62"/>
    <x v="28"/>
    <s v="Electronics"/>
    <s v="Delivered"/>
    <n v="650"/>
    <n v="103.84"/>
    <n v="88.28"/>
    <n v="12"/>
    <x v="0"/>
  </r>
  <r>
    <s v="PO-00068"/>
    <s v="Beta_Supplies"/>
    <x v="63"/>
    <x v="57"/>
    <s v="Office Supplies"/>
    <s v="Delivered"/>
    <n v="365"/>
    <n v="16.809999999999999"/>
    <n v="15.41"/>
    <n v="38"/>
    <x v="0"/>
  </r>
  <r>
    <s v="PO-00069"/>
    <s v="Epsilon_Group"/>
    <x v="17"/>
    <x v="13"/>
    <s v="Raw Materials"/>
    <s v="Cancelled"/>
    <n v="63"/>
    <n v="61.94"/>
    <n v="53.8"/>
    <m/>
    <x v="0"/>
  </r>
  <r>
    <s v="PO-00070"/>
    <s v="Alpha_Inc"/>
    <x v="64"/>
    <x v="58"/>
    <s v="MRO"/>
    <s v="Delivered"/>
    <n v="291"/>
    <n v="98.7"/>
    <n v="87.02"/>
    <n v="9"/>
    <x v="0"/>
  </r>
  <r>
    <s v="PO-00071"/>
    <s v="Alpha_Inc"/>
    <x v="38"/>
    <x v="59"/>
    <s v="MRO"/>
    <s v="Cancelled"/>
    <n v="826"/>
    <n v="60.5"/>
    <n v="57.18"/>
    <n v="18"/>
    <x v="0"/>
  </r>
  <r>
    <s v="PO-00072"/>
    <s v="Delta_Logistics"/>
    <x v="29"/>
    <x v="60"/>
    <s v="Electronics"/>
    <s v="Pending"/>
    <n v="1419"/>
    <n v="69.64"/>
    <n v="59.28"/>
    <n v="194"/>
    <x v="0"/>
  </r>
  <r>
    <s v="PO-00073"/>
    <s v="Gamma_Co"/>
    <x v="65"/>
    <x v="61"/>
    <s v="Office Supplies"/>
    <s v="Delivered"/>
    <n v="614"/>
    <n v="78.06"/>
    <n v="73.95"/>
    <n v="40"/>
    <x v="0"/>
  </r>
  <r>
    <s v="PO-00074"/>
    <s v="Alpha_Inc"/>
    <x v="66"/>
    <x v="62"/>
    <s v="Electronics"/>
    <s v="Delivered"/>
    <n v="947"/>
    <n v="56.25"/>
    <n v="54.25"/>
    <n v="19"/>
    <x v="0"/>
  </r>
  <r>
    <s v="PO-00075"/>
    <s v="Epsilon_Group"/>
    <x v="67"/>
    <x v="63"/>
    <s v="Raw Materials"/>
    <s v="Delivered"/>
    <n v="1413"/>
    <n v="70.47"/>
    <n v="69.650000000000006"/>
    <m/>
    <x v="0"/>
  </r>
  <r>
    <s v="PO-00076"/>
    <s v="Alpha_Inc"/>
    <x v="68"/>
    <x v="13"/>
    <s v="Office Supplies"/>
    <s v="Partially Delivered"/>
    <n v="141"/>
    <n v="64.150000000000006"/>
    <n v="58.32"/>
    <m/>
    <x v="0"/>
  </r>
  <r>
    <s v="PO-00077"/>
    <s v="Alpha_Inc"/>
    <x v="69"/>
    <x v="64"/>
    <s v="Office Supplies"/>
    <s v="Delivered"/>
    <n v="1440"/>
    <n v="96.57"/>
    <n v="83.87"/>
    <n v="36"/>
    <x v="0"/>
  </r>
  <r>
    <s v="PO-00078"/>
    <s v="Delta_Logistics"/>
    <x v="70"/>
    <x v="65"/>
    <s v="Raw Materials"/>
    <s v="Delivered"/>
    <n v="1005"/>
    <n v="14.87"/>
    <n v="12.79"/>
    <m/>
    <x v="1"/>
  </r>
  <r>
    <s v="PO-00079"/>
    <s v="Alpha_Inc"/>
    <x v="71"/>
    <x v="13"/>
    <s v="MRO"/>
    <s v="Delivered"/>
    <n v="1528"/>
    <n v="36.520000000000003"/>
    <n v="33"/>
    <n v="31"/>
    <x v="1"/>
  </r>
  <r>
    <s v="PO-00080"/>
    <s v="Gamma_Co"/>
    <x v="72"/>
    <x v="66"/>
    <s v="MRO"/>
    <s v="Delivered"/>
    <n v="1501"/>
    <n v="106.05"/>
    <n v="100.99"/>
    <n v="77"/>
    <x v="1"/>
  </r>
  <r>
    <s v="PO-00081"/>
    <s v="Delta_Logistics"/>
    <x v="73"/>
    <x v="67"/>
    <s v="Packaging"/>
    <s v="Delivered"/>
    <n v="558"/>
    <n v="94.18"/>
    <n v="81.400000000000006"/>
    <m/>
    <x v="1"/>
  </r>
  <r>
    <s v="PO-00082"/>
    <s v="Beta_Supplies"/>
    <x v="24"/>
    <x v="68"/>
    <s v="MRO"/>
    <s v="Delivered"/>
    <n v="825"/>
    <n v="56.88"/>
    <n v="50.84"/>
    <m/>
    <x v="0"/>
  </r>
  <r>
    <s v="PO-00083"/>
    <s v="Beta_Supplies"/>
    <x v="74"/>
    <x v="69"/>
    <s v="Electronics"/>
    <s v="Cancelled"/>
    <n v="84"/>
    <n v="73.38"/>
    <n v="71.42"/>
    <n v="9"/>
    <x v="0"/>
  </r>
  <r>
    <s v="PO-00084"/>
    <s v="Delta_Logistics"/>
    <x v="75"/>
    <x v="70"/>
    <s v="Raw Materials"/>
    <s v="Delivered"/>
    <n v="255"/>
    <n v="38.64"/>
    <n v="33.590000000000003"/>
    <n v="27"/>
    <x v="1"/>
  </r>
  <r>
    <s v="PO-00085"/>
    <s v="Gamma_Co"/>
    <x v="76"/>
    <x v="71"/>
    <s v="MRO"/>
    <s v="Delivered"/>
    <n v="1154"/>
    <n v="27.2"/>
    <n v="26.07"/>
    <n v="58"/>
    <x v="0"/>
  </r>
  <r>
    <s v="PO-00086"/>
    <s v="Delta_Logistics"/>
    <x v="77"/>
    <x v="19"/>
    <s v="Office Supplies"/>
    <s v="Delivered"/>
    <n v="1635"/>
    <n v="56.91"/>
    <n v="54.37"/>
    <n v="262"/>
    <x v="1"/>
  </r>
  <r>
    <s v="PO-00087"/>
    <s v="Delta_Logistics"/>
    <x v="66"/>
    <x v="72"/>
    <s v="Raw Materials"/>
    <s v="Delivered"/>
    <n v="1945"/>
    <n v="46.19"/>
    <n v="40.119999999999997"/>
    <n v="278"/>
    <x v="1"/>
  </r>
  <r>
    <s v="PO-00088"/>
    <s v="Delta_Logistics"/>
    <x v="78"/>
    <x v="73"/>
    <s v="MRO"/>
    <s v="Partially Delivered"/>
    <n v="1461"/>
    <n v="64.09"/>
    <n v="63.39"/>
    <n v="228"/>
    <x v="1"/>
  </r>
  <r>
    <s v="PO-00089"/>
    <s v="Delta_Logistics"/>
    <x v="79"/>
    <x v="74"/>
    <s v="Electronics"/>
    <s v="Delivered"/>
    <n v="1075"/>
    <n v="18.53"/>
    <n v="16.12"/>
    <n v="147"/>
    <x v="0"/>
  </r>
  <r>
    <s v="PO-00090"/>
    <s v="Alpha_Inc"/>
    <x v="4"/>
    <x v="13"/>
    <s v="Packaging"/>
    <s v="Delivered"/>
    <n v="1071"/>
    <n v="101.6"/>
    <n v="93.91"/>
    <n v="25"/>
    <x v="0"/>
  </r>
  <r>
    <s v="PO-00091"/>
    <s v="Epsilon_Group"/>
    <x v="80"/>
    <x v="75"/>
    <s v="Packaging"/>
    <s v="Pending"/>
    <n v="1463"/>
    <n v="101.23"/>
    <n v="86.17"/>
    <n v="43"/>
    <x v="0"/>
  </r>
  <r>
    <s v="PO-00092"/>
    <s v="Beta_Supplies"/>
    <x v="81"/>
    <x v="76"/>
    <s v="Raw Materials"/>
    <s v="Delivered"/>
    <n v="615"/>
    <n v="78.3"/>
    <n v="73.680000000000007"/>
    <n v="69"/>
    <x v="0"/>
  </r>
  <r>
    <s v="PO-00093"/>
    <s v="Gamma_Co"/>
    <x v="82"/>
    <x v="77"/>
    <s v="Electronics"/>
    <s v="Delivered"/>
    <n v="1179"/>
    <n v="61.74"/>
    <n v="56.28"/>
    <m/>
    <x v="0"/>
  </r>
  <r>
    <s v="PO-00094"/>
    <s v="Alpha_Inc"/>
    <x v="83"/>
    <x v="78"/>
    <s v="Electronics"/>
    <s v="Partially Delivered"/>
    <n v="1845"/>
    <n v="39.56"/>
    <n v="37.630000000000003"/>
    <n v="45"/>
    <x v="0"/>
  </r>
  <r>
    <s v="PO-00095"/>
    <s v="Beta_Supplies"/>
    <x v="84"/>
    <x v="13"/>
    <s v="Electronics"/>
    <s v="Cancelled"/>
    <n v="1895"/>
    <n v="91.98"/>
    <n v="86.27"/>
    <n v="170"/>
    <x v="0"/>
  </r>
  <r>
    <s v="PO-00096"/>
    <s v="Epsilon_Group"/>
    <x v="85"/>
    <x v="79"/>
    <s v="MRO"/>
    <s v="Partially Delivered"/>
    <n v="1550"/>
    <n v="79.86"/>
    <n v="69.569999999999993"/>
    <n v="32"/>
    <x v="1"/>
  </r>
  <r>
    <s v="PO-00097"/>
    <s v="Delta_Logistics"/>
    <x v="86"/>
    <x v="80"/>
    <s v="Packaging"/>
    <s v="Delivered"/>
    <n v="752"/>
    <n v="26.85"/>
    <n v="24.37"/>
    <m/>
    <x v="1"/>
  </r>
  <r>
    <s v="PO-00098"/>
    <s v="Epsilon_Group"/>
    <x v="87"/>
    <x v="81"/>
    <s v="Electronics"/>
    <s v="Delivered"/>
    <n v="451"/>
    <n v="95.2"/>
    <n v="90.07"/>
    <n v="21"/>
    <x v="0"/>
  </r>
  <r>
    <s v="PO-00099"/>
    <s v="Beta_Supplies"/>
    <x v="88"/>
    <x v="13"/>
    <s v="Office Supplies"/>
    <s v="Delivered"/>
    <n v="779"/>
    <n v="93.69"/>
    <n v="90.92"/>
    <n v="66"/>
    <x v="0"/>
  </r>
  <r>
    <s v="PO-00100"/>
    <s v="Beta_Supplies"/>
    <x v="89"/>
    <x v="82"/>
    <s v="MRO"/>
    <s v="Pending"/>
    <n v="1629"/>
    <n v="100.26"/>
    <n v="86.44"/>
    <n v="187"/>
    <x v="1"/>
  </r>
  <r>
    <s v="PO-00101"/>
    <s v="Alpha_Inc"/>
    <x v="90"/>
    <x v="83"/>
    <s v="Office Supplies"/>
    <s v="Delivered"/>
    <n v="211"/>
    <n v="75.69"/>
    <n v="65.400000000000006"/>
    <n v="2"/>
    <x v="0"/>
  </r>
  <r>
    <s v="PO-00102"/>
    <s v="Alpha_Inc"/>
    <x v="91"/>
    <x v="13"/>
    <s v="Office Supplies"/>
    <s v="Delivered"/>
    <n v="251"/>
    <n v="67.489999999999995"/>
    <n v="64.48"/>
    <n v="2"/>
    <x v="0"/>
  </r>
  <r>
    <s v="PO-00103"/>
    <s v="Gamma_Co"/>
    <x v="13"/>
    <x v="14"/>
    <s v="Raw Materials"/>
    <s v="Delivered"/>
    <n v="1045"/>
    <n v="47.88"/>
    <n v="44.65"/>
    <n v="69"/>
    <x v="0"/>
  </r>
  <r>
    <s v="PO-00104"/>
    <s v="Delta_Logistics"/>
    <x v="92"/>
    <x v="84"/>
    <s v="MRO"/>
    <s v="Delivered"/>
    <n v="319"/>
    <n v="98.64"/>
    <n v="89.15"/>
    <n v="57"/>
    <x v="0"/>
  </r>
  <r>
    <s v="PO-00105"/>
    <s v="Epsilon_Group"/>
    <x v="93"/>
    <x v="85"/>
    <s v="Office Supplies"/>
    <s v="Partially Delivered"/>
    <n v="1936"/>
    <n v="93.66"/>
    <n v="92.24"/>
    <n v="58"/>
    <x v="0"/>
  </r>
  <r>
    <s v="PO-00106"/>
    <s v="Delta_Logistics"/>
    <x v="94"/>
    <x v="86"/>
    <s v="MRO"/>
    <s v="Cancelled"/>
    <n v="865"/>
    <n v="14.7"/>
    <n v="13.14"/>
    <n v="135"/>
    <x v="1"/>
  </r>
  <r>
    <s v="PO-00107"/>
    <s v="Epsilon_Group"/>
    <x v="95"/>
    <x v="87"/>
    <s v="Electronics"/>
    <s v="Delivered"/>
    <n v="1344"/>
    <n v="12.5"/>
    <n v="10.87"/>
    <n v="44"/>
    <x v="0"/>
  </r>
  <r>
    <s v="PO-00108"/>
    <s v="Delta_Logistics"/>
    <x v="96"/>
    <x v="88"/>
    <s v="Raw Materials"/>
    <s v="Pending"/>
    <n v="505"/>
    <n v="45.42"/>
    <n v="40.369999999999997"/>
    <n v="62"/>
    <x v="0"/>
  </r>
  <r>
    <s v="PO-00109"/>
    <s v="Beta_Supplies"/>
    <x v="97"/>
    <x v="89"/>
    <s v="Packaging"/>
    <s v="Delivered"/>
    <n v="1535"/>
    <n v="90.83"/>
    <n v="78.28"/>
    <n v="151"/>
    <x v="1"/>
  </r>
  <r>
    <s v="PO-00110"/>
    <s v="Beta_Supplies"/>
    <x v="98"/>
    <x v="13"/>
    <s v="Office Supplies"/>
    <s v="Delivered"/>
    <n v="1800"/>
    <n v="103.8"/>
    <n v="96.27"/>
    <n v="166"/>
    <x v="0"/>
  </r>
  <r>
    <s v="PO-00111"/>
    <s v="Delta_Logistics"/>
    <x v="99"/>
    <x v="90"/>
    <s v="Raw Materials"/>
    <s v="Pending"/>
    <n v="1325"/>
    <n v="24.36"/>
    <n v="22.75"/>
    <n v="206"/>
    <x v="0"/>
  </r>
  <r>
    <s v="PO-00112"/>
    <s v="Gamma_Co"/>
    <x v="100"/>
    <x v="91"/>
    <s v="Raw Materials"/>
    <s v="Delivered"/>
    <n v="1066"/>
    <n v="70.45"/>
    <n v="65.88"/>
    <n v="56"/>
    <x v="1"/>
  </r>
  <r>
    <s v="PO-00113"/>
    <s v="Beta_Supplies"/>
    <x v="101"/>
    <x v="92"/>
    <s v="Raw Materials"/>
    <s v="Delivered"/>
    <n v="1775"/>
    <n v="47.82"/>
    <n v="45.86"/>
    <n v="180"/>
    <x v="0"/>
  </r>
  <r>
    <s v="PO-00114"/>
    <s v="Gamma_Co"/>
    <x v="102"/>
    <x v="13"/>
    <s v="Raw Materials"/>
    <s v="Partially Delivered"/>
    <n v="345"/>
    <n v="103.62"/>
    <n v="98.09"/>
    <n v="25"/>
    <x v="1"/>
  </r>
  <r>
    <s v="PO-00115"/>
    <s v="Beta_Supplies"/>
    <x v="103"/>
    <x v="91"/>
    <s v="Electronics"/>
    <s v="Delivered"/>
    <n v="1798"/>
    <n v="94.8"/>
    <n v="91.83"/>
    <m/>
    <x v="0"/>
  </r>
  <r>
    <s v="PO-00116"/>
    <s v="Alpha_Inc"/>
    <x v="104"/>
    <x v="93"/>
    <s v="MRO"/>
    <s v="Delivered"/>
    <n v="769"/>
    <n v="91.86"/>
    <n v="86.55"/>
    <n v="17"/>
    <x v="0"/>
  </r>
  <r>
    <s v="PO-00117"/>
    <s v="Alpha_Inc"/>
    <x v="105"/>
    <x v="13"/>
    <s v="Packaging"/>
    <s v="Delivered"/>
    <n v="1822"/>
    <n v="53.23"/>
    <n v="47.49"/>
    <n v="39"/>
    <x v="0"/>
  </r>
  <r>
    <s v="PO-00118"/>
    <s v="Delta_Logistics"/>
    <x v="106"/>
    <x v="94"/>
    <s v="Packaging"/>
    <s v="Delivered"/>
    <n v="387"/>
    <n v="49.23"/>
    <n v="45.41"/>
    <n v="61"/>
    <x v="0"/>
  </r>
  <r>
    <s v="PO-00119"/>
    <s v="Epsilon_Group"/>
    <x v="6"/>
    <x v="95"/>
    <s v="MRO"/>
    <s v="Delivered"/>
    <n v="928"/>
    <n v="35.299999999999997"/>
    <n v="32.520000000000003"/>
    <n v="26"/>
    <x v="0"/>
  </r>
  <r>
    <s v="PO-00120"/>
    <s v="Alpha_Inc"/>
    <x v="107"/>
    <x v="96"/>
    <s v="Packaging"/>
    <s v="Partially Delivered"/>
    <n v="1126"/>
    <n v="15.68"/>
    <n v="14.97"/>
    <n v="27"/>
    <x v="0"/>
  </r>
  <r>
    <s v="PO-00121"/>
    <s v="Beta_Supplies"/>
    <x v="21"/>
    <x v="97"/>
    <s v="Raw Materials"/>
    <s v="Cancelled"/>
    <n v="841"/>
    <n v="95.73"/>
    <n v="85.33"/>
    <n v="81"/>
    <x v="0"/>
  </r>
  <r>
    <s v="PO-00122"/>
    <s v="Beta_Supplies"/>
    <x v="108"/>
    <x v="98"/>
    <s v="Electronics"/>
    <s v="Delivered"/>
    <n v="1995"/>
    <n v="90.65"/>
    <n v="77.75"/>
    <n v="206"/>
    <x v="0"/>
  </r>
  <r>
    <s v="PO-00123"/>
    <s v="Alpha_Inc"/>
    <x v="109"/>
    <x v="99"/>
    <s v="Raw Materials"/>
    <s v="Delivered"/>
    <n v="266"/>
    <n v="103.97"/>
    <n v="101.44"/>
    <n v="6"/>
    <x v="0"/>
  </r>
  <r>
    <s v="PO-00124"/>
    <s v="Alpha_Inc"/>
    <x v="110"/>
    <x v="100"/>
    <s v="Raw Materials"/>
    <s v="Cancelled"/>
    <n v="813"/>
    <n v="109.17"/>
    <n v="107.39"/>
    <n v="14"/>
    <x v="0"/>
  </r>
  <r>
    <s v="PO-00125"/>
    <s v="Epsilon_Group"/>
    <x v="111"/>
    <x v="12"/>
    <s v="Electronics"/>
    <s v="Delivered"/>
    <n v="237"/>
    <n v="64.19"/>
    <n v="59.01"/>
    <n v="7"/>
    <x v="0"/>
  </r>
  <r>
    <s v="PO-00126"/>
    <s v="Alpha_Inc"/>
    <x v="112"/>
    <x v="101"/>
    <s v="Office Supplies"/>
    <s v="Cancelled"/>
    <n v="429"/>
    <n v="86.73"/>
    <n v="75.09"/>
    <n v="9"/>
    <x v="0"/>
  </r>
  <r>
    <s v="PO-00127"/>
    <s v="Delta_Logistics"/>
    <x v="113"/>
    <x v="102"/>
    <s v="Packaging"/>
    <s v="Delivered"/>
    <n v="542"/>
    <n v="101.21"/>
    <n v="93.11"/>
    <n v="78"/>
    <x v="1"/>
  </r>
  <r>
    <s v="PO-00128"/>
    <s v="Epsilon_Group"/>
    <x v="54"/>
    <x v="103"/>
    <s v="Electronics"/>
    <s v="Delivered"/>
    <n v="1114"/>
    <n v="91.66"/>
    <n v="85.53"/>
    <n v="35"/>
    <x v="0"/>
  </r>
  <r>
    <s v="PO-00129"/>
    <s v="Alpha_Inc"/>
    <x v="87"/>
    <x v="90"/>
    <s v="MRO"/>
    <s v="Delivered"/>
    <n v="1230"/>
    <n v="33.39"/>
    <n v="30.85"/>
    <n v="26"/>
    <x v="0"/>
  </r>
  <r>
    <s v="PO-00130"/>
    <s v="Beta_Supplies"/>
    <x v="114"/>
    <x v="6"/>
    <s v="MRO"/>
    <s v="Delivered"/>
    <n v="64"/>
    <n v="51.56"/>
    <n v="50.88"/>
    <n v="5"/>
    <x v="0"/>
  </r>
  <r>
    <s v="PO-00131"/>
    <s v="Alpha_Inc"/>
    <x v="115"/>
    <x v="104"/>
    <s v="MRO"/>
    <s v="Delivered"/>
    <n v="1886"/>
    <n v="23.46"/>
    <n v="23.18"/>
    <m/>
    <x v="0"/>
  </r>
  <r>
    <s v="PO-00132"/>
    <s v="Delta_Logistics"/>
    <x v="116"/>
    <x v="105"/>
    <s v="Office Supplies"/>
    <s v="Delivered"/>
    <n v="114"/>
    <n v="103.53"/>
    <n v="101.54"/>
    <n v="14"/>
    <x v="0"/>
  </r>
  <r>
    <s v="PO-00133"/>
    <s v="Delta_Logistics"/>
    <x v="117"/>
    <x v="58"/>
    <s v="Electronics"/>
    <s v="Cancelled"/>
    <n v="1930"/>
    <n v="65.52"/>
    <n v="56.9"/>
    <n v="282"/>
    <x v="0"/>
  </r>
  <r>
    <s v="PO-00134"/>
    <s v="Beta_Supplies"/>
    <x v="118"/>
    <x v="106"/>
    <s v="Office Supplies"/>
    <s v="Pending"/>
    <n v="1912"/>
    <n v="30.73"/>
    <n v="29.82"/>
    <n v="191"/>
    <x v="0"/>
  </r>
  <r>
    <s v="PO-00135"/>
    <s v="Epsilon_Group"/>
    <x v="119"/>
    <x v="107"/>
    <s v="MRO"/>
    <s v="Delivered"/>
    <n v="570"/>
    <n v="71.510000000000005"/>
    <n v="66.47"/>
    <m/>
    <x v="0"/>
  </r>
  <r>
    <s v="PO-00136"/>
    <s v="Beta_Supplies"/>
    <x v="120"/>
    <x v="108"/>
    <s v="Raw Materials"/>
    <s v="Delivered"/>
    <n v="1417"/>
    <n v="67.27"/>
    <n v="60.62"/>
    <m/>
    <x v="0"/>
  </r>
  <r>
    <s v="PO-00137"/>
    <s v="Alpha_Inc"/>
    <x v="121"/>
    <x v="109"/>
    <s v="Raw Materials"/>
    <s v="Delivered"/>
    <n v="1202"/>
    <n v="46.67"/>
    <n v="44.13"/>
    <n v="21"/>
    <x v="1"/>
  </r>
  <r>
    <s v="PO-00138"/>
    <s v="Beta_Supplies"/>
    <x v="31"/>
    <x v="110"/>
    <s v="Office Supplies"/>
    <s v="Delivered"/>
    <n v="697"/>
    <n v="20.73"/>
    <n v="19.829999999999998"/>
    <n v="78"/>
    <x v="1"/>
  </r>
  <r>
    <s v="PO-00139"/>
    <s v="Epsilon_Group"/>
    <x v="122"/>
    <x v="111"/>
    <s v="MRO"/>
    <s v="Delivered"/>
    <n v="1545"/>
    <n v="78.19"/>
    <n v="76.91"/>
    <n v="42"/>
    <x v="0"/>
  </r>
  <r>
    <s v="PO-00140"/>
    <s v="Gamma_Co"/>
    <x v="12"/>
    <x v="112"/>
    <s v="MRO"/>
    <s v="Partially Delivered"/>
    <n v="1136"/>
    <n v="60.81"/>
    <n v="58.25"/>
    <n v="62"/>
    <x v="0"/>
  </r>
  <r>
    <s v="PO-00141"/>
    <s v="Beta_Supplies"/>
    <x v="123"/>
    <x v="113"/>
    <s v="MRO"/>
    <s v="Delivered"/>
    <n v="1212"/>
    <n v="87.46"/>
    <n v="74.55"/>
    <n v="118"/>
    <x v="1"/>
  </r>
  <r>
    <s v="PO-00142"/>
    <s v="Epsilon_Group"/>
    <x v="124"/>
    <x v="87"/>
    <s v="MRO"/>
    <s v="Delivered"/>
    <n v="1572"/>
    <n v="57.38"/>
    <n v="49.32"/>
    <n v="40"/>
    <x v="0"/>
  </r>
  <r>
    <s v="PO-00143"/>
    <s v="Gamma_Co"/>
    <x v="125"/>
    <x v="114"/>
    <s v="Electronics"/>
    <s v="Delivered"/>
    <n v="642"/>
    <n v="91.9"/>
    <n v="81.489999999999995"/>
    <n v="26"/>
    <x v="0"/>
  </r>
  <r>
    <s v="PO-00144"/>
    <s v="Epsilon_Group"/>
    <x v="126"/>
    <x v="64"/>
    <s v="Office Supplies"/>
    <s v="Delivered"/>
    <n v="441"/>
    <n v="63.25"/>
    <n v="54.12"/>
    <n v="16"/>
    <x v="0"/>
  </r>
  <r>
    <s v="PO-00145"/>
    <s v="Epsilon_Group"/>
    <x v="123"/>
    <x v="115"/>
    <s v="Office Supplies"/>
    <s v="Delivered"/>
    <n v="1748"/>
    <n v="66.53"/>
    <n v="57.11"/>
    <m/>
    <x v="0"/>
  </r>
  <r>
    <s v="PO-00146"/>
    <s v="Gamma_Co"/>
    <x v="127"/>
    <x v="13"/>
    <s v="Electronics"/>
    <s v="Pending"/>
    <n v="468"/>
    <n v="95.57"/>
    <n v="91.8"/>
    <n v="24"/>
    <x v="0"/>
  </r>
  <r>
    <s v="PO-00147"/>
    <s v="Beta_Supplies"/>
    <x v="128"/>
    <x v="44"/>
    <s v="Raw Materials"/>
    <s v="Delivered"/>
    <n v="338"/>
    <n v="50.25"/>
    <n v="46.28"/>
    <n v="49"/>
    <x v="1"/>
  </r>
  <r>
    <s v="PO-00148"/>
    <s v="Gamma_Co"/>
    <x v="129"/>
    <x v="116"/>
    <s v="Office Supplies"/>
    <s v="Delivered"/>
    <n v="428"/>
    <n v="22.94"/>
    <n v="21.52"/>
    <n v="26"/>
    <x v="0"/>
  </r>
  <r>
    <s v="PO-00149"/>
    <s v="Beta_Supplies"/>
    <x v="130"/>
    <x v="13"/>
    <s v="Packaging"/>
    <s v="Delivered"/>
    <n v="1846"/>
    <n v="13.72"/>
    <n v="12.62"/>
    <n v="216"/>
    <x v="0"/>
  </r>
  <r>
    <s v="PO-00150"/>
    <s v="Epsilon_Group"/>
    <x v="131"/>
    <x v="117"/>
    <s v="Office Supplies"/>
    <s v="Delivered"/>
    <n v="1563"/>
    <n v="77.959999999999994"/>
    <n v="70.8"/>
    <n v="41"/>
    <x v="0"/>
  </r>
  <r>
    <s v="PO-00151"/>
    <s v="Beta_Supplies"/>
    <x v="122"/>
    <x v="69"/>
    <s v="Office Supplies"/>
    <s v="Delivered"/>
    <n v="280"/>
    <n v="73.069999999999993"/>
    <n v="69.290000000000006"/>
    <n v="30"/>
    <x v="0"/>
  </r>
  <r>
    <s v="PO-00152"/>
    <s v="Delta_Logistics"/>
    <x v="132"/>
    <x v="118"/>
    <s v="Raw Materials"/>
    <s v="Delivered"/>
    <n v="1067"/>
    <n v="74.47"/>
    <n v="64.16"/>
    <m/>
    <x v="1"/>
  </r>
  <r>
    <s v="PO-00153"/>
    <s v="Gamma_Co"/>
    <x v="133"/>
    <x v="31"/>
    <s v="Electronics"/>
    <s v="Pending"/>
    <n v="90"/>
    <n v="32.380000000000003"/>
    <n v="29.96"/>
    <n v="7"/>
    <x v="0"/>
  </r>
  <r>
    <s v="PO-00154"/>
    <s v="Gamma_Co"/>
    <x v="46"/>
    <x v="119"/>
    <s v="Raw Materials"/>
    <s v="Delivered"/>
    <n v="1101"/>
    <n v="24.28"/>
    <n v="22.73"/>
    <n v="59"/>
    <x v="1"/>
  </r>
  <r>
    <s v="PO-00155"/>
    <s v="Alpha_Inc"/>
    <x v="73"/>
    <x v="120"/>
    <s v="Raw Materials"/>
    <s v="Delivered"/>
    <n v="184"/>
    <n v="11.82"/>
    <n v="10.51"/>
    <n v="4"/>
    <x v="0"/>
  </r>
  <r>
    <s v="PO-00156"/>
    <s v="Epsilon_Group"/>
    <x v="134"/>
    <x v="121"/>
    <s v="Electronics"/>
    <s v="Delivered"/>
    <n v="250"/>
    <n v="45.92"/>
    <n v="41.02"/>
    <n v="3"/>
    <x v="0"/>
  </r>
  <r>
    <s v="PO-00157"/>
    <s v="Epsilon_Group"/>
    <x v="33"/>
    <x v="13"/>
    <s v="Packaging"/>
    <s v="Cancelled"/>
    <n v="1913"/>
    <n v="66.56"/>
    <n v="61.34"/>
    <n v="61"/>
    <x v="0"/>
  </r>
  <r>
    <s v="PO-00158"/>
    <s v="Beta_Supplies"/>
    <x v="1"/>
    <x v="122"/>
    <s v="Electronics"/>
    <s v="Delivered"/>
    <n v="829"/>
    <n v="45.98"/>
    <n v="40.39"/>
    <m/>
    <x v="0"/>
  </r>
  <r>
    <s v="PO-00159"/>
    <s v="Delta_Logistics"/>
    <x v="51"/>
    <x v="123"/>
    <s v="Raw Materials"/>
    <s v="Delivered"/>
    <n v="979"/>
    <n v="51.59"/>
    <n v="49.69"/>
    <n v="148"/>
    <x v="0"/>
  </r>
  <r>
    <s v="PO-00160"/>
    <s v="Epsilon_Group"/>
    <x v="135"/>
    <x v="124"/>
    <s v="Electronics"/>
    <s v="Partially Delivered"/>
    <n v="1106"/>
    <n v="97.77"/>
    <n v="90.45"/>
    <n v="31"/>
    <x v="0"/>
  </r>
  <r>
    <s v="PO-00161"/>
    <s v="Delta_Logistics"/>
    <x v="136"/>
    <x v="125"/>
    <s v="Office Supplies"/>
    <s v="Pending"/>
    <n v="1121"/>
    <n v="42.38"/>
    <n v="38.340000000000003"/>
    <n v="152"/>
    <x v="0"/>
  </r>
  <r>
    <s v="PO-00162"/>
    <s v="Alpha_Inc"/>
    <x v="65"/>
    <x v="126"/>
    <s v="Office Supplies"/>
    <s v="Delivered"/>
    <n v="552"/>
    <n v="60.48"/>
    <n v="56.78"/>
    <n v="10"/>
    <x v="0"/>
  </r>
  <r>
    <s v="PO-00163"/>
    <s v="Gamma_Co"/>
    <x v="137"/>
    <x v="127"/>
    <s v="Packaging"/>
    <s v="Delivered"/>
    <n v="456"/>
    <n v="80.53"/>
    <n v="77.86"/>
    <n v="26"/>
    <x v="0"/>
  </r>
  <r>
    <s v="PO-00164"/>
    <s v="Delta_Logistics"/>
    <x v="109"/>
    <x v="128"/>
    <s v="Packaging"/>
    <s v="Delivered"/>
    <n v="1647"/>
    <n v="47.52"/>
    <n v="44.92"/>
    <m/>
    <x v="0"/>
  </r>
  <r>
    <s v="PO-00165"/>
    <s v="Epsilon_Group"/>
    <x v="138"/>
    <x v="92"/>
    <s v="Electronics"/>
    <s v="Pending"/>
    <n v="1801"/>
    <n v="71.27"/>
    <n v="61.24"/>
    <n v="43"/>
    <x v="0"/>
  </r>
  <r>
    <s v="PO-00166"/>
    <s v="Gamma_Co"/>
    <x v="139"/>
    <x v="129"/>
    <s v="Electronics"/>
    <s v="Delivered"/>
    <n v="854"/>
    <n v="90.24"/>
    <n v="85.53"/>
    <m/>
    <x v="0"/>
  </r>
  <r>
    <s v="PO-00167"/>
    <s v="Delta_Logistics"/>
    <x v="140"/>
    <x v="130"/>
    <s v="Electronics"/>
    <s v="Delivered"/>
    <n v="148"/>
    <n v="103.57"/>
    <n v="98.62"/>
    <n v="23"/>
    <x v="1"/>
  </r>
  <r>
    <s v="PO-00168"/>
    <s v="Delta_Logistics"/>
    <x v="141"/>
    <x v="131"/>
    <s v="MRO"/>
    <s v="Delivered"/>
    <n v="733"/>
    <n v="23.59"/>
    <n v="22.85"/>
    <n v="92"/>
    <x v="0"/>
  </r>
  <r>
    <s v="PO-00169"/>
    <s v="Beta_Supplies"/>
    <x v="142"/>
    <x v="132"/>
    <s v="Raw Materials"/>
    <s v="Delivered"/>
    <n v="1945"/>
    <n v="103.2"/>
    <n v="88.56"/>
    <m/>
    <x v="0"/>
  </r>
  <r>
    <s v="PO-00170"/>
    <s v="Gamma_Co"/>
    <x v="143"/>
    <x v="133"/>
    <s v="Raw Materials"/>
    <s v="Delivered"/>
    <n v="775"/>
    <n v="57"/>
    <n v="49.14"/>
    <n v="48"/>
    <x v="0"/>
  </r>
  <r>
    <s v="PO-00171"/>
    <s v="Delta_Logistics"/>
    <x v="0"/>
    <x v="134"/>
    <s v="Packaging"/>
    <s v="Delivered"/>
    <n v="1620"/>
    <n v="36.729999999999997"/>
    <n v="33.450000000000003"/>
    <n v="235"/>
    <x v="1"/>
  </r>
  <r>
    <s v="PO-00172"/>
    <s v="Beta_Supplies"/>
    <x v="140"/>
    <x v="135"/>
    <s v="Office Supplies"/>
    <s v="Delivered"/>
    <n v="1010"/>
    <n v="55.68"/>
    <n v="50.86"/>
    <m/>
    <x v="0"/>
  </r>
  <r>
    <s v="PO-00173"/>
    <s v="Epsilon_Group"/>
    <x v="77"/>
    <x v="48"/>
    <s v="Office Supplies"/>
    <s v="Delivered"/>
    <n v="1812"/>
    <n v="108.02"/>
    <n v="101.02"/>
    <n v="51"/>
    <x v="0"/>
  </r>
  <r>
    <s v="PO-00174"/>
    <s v="Delta_Logistics"/>
    <x v="22"/>
    <x v="136"/>
    <s v="Office Supplies"/>
    <s v="Delivered"/>
    <n v="662"/>
    <n v="55.97"/>
    <n v="50"/>
    <n v="100"/>
    <x v="0"/>
  </r>
  <r>
    <s v="PO-00175"/>
    <s v="Beta_Supplies"/>
    <x v="120"/>
    <x v="137"/>
    <s v="Office Supplies"/>
    <s v="Pending"/>
    <n v="1535"/>
    <n v="40.58"/>
    <n v="38.71"/>
    <n v="165"/>
    <x v="0"/>
  </r>
  <r>
    <s v="PO-00176"/>
    <s v="Beta_Supplies"/>
    <x v="144"/>
    <x v="138"/>
    <s v="Raw Materials"/>
    <s v="Delivered"/>
    <n v="692"/>
    <n v="71.03"/>
    <n v="67.739999999999995"/>
    <n v="70"/>
    <x v="0"/>
  </r>
  <r>
    <s v="PO-00177"/>
    <s v="Gamma_Co"/>
    <x v="145"/>
    <x v="139"/>
    <s v="MRO"/>
    <s v="Delivered"/>
    <n v="1842"/>
    <n v="32.4"/>
    <n v="28.08"/>
    <n v="96"/>
    <x v="0"/>
  </r>
  <r>
    <s v="PO-00178"/>
    <s v="Beta_Supplies"/>
    <x v="146"/>
    <x v="140"/>
    <s v="Office Supplies"/>
    <s v="Cancelled"/>
    <n v="1078"/>
    <n v="18.34"/>
    <n v="17.41"/>
    <n v="102"/>
    <x v="0"/>
  </r>
  <r>
    <s v="PO-00179"/>
    <s v="Delta_Logistics"/>
    <x v="147"/>
    <x v="141"/>
    <s v="Packaging"/>
    <s v="Delivered"/>
    <n v="1291"/>
    <n v="23.44"/>
    <n v="22.23"/>
    <m/>
    <x v="0"/>
  </r>
  <r>
    <s v="PO-00180"/>
    <s v="Alpha_Inc"/>
    <x v="148"/>
    <x v="127"/>
    <s v="Electronics"/>
    <s v="Delivered"/>
    <n v="552"/>
    <n v="21.52"/>
    <n v="18.79"/>
    <n v="13"/>
    <x v="0"/>
  </r>
  <r>
    <s v="PO-00181"/>
    <s v="Epsilon_Group"/>
    <x v="149"/>
    <x v="142"/>
    <s v="Electronics"/>
    <s v="Delivered"/>
    <n v="816"/>
    <n v="26.04"/>
    <n v="25.61"/>
    <n v="28"/>
    <x v="0"/>
  </r>
  <r>
    <s v="PO-00182"/>
    <s v="Delta_Logistics"/>
    <x v="150"/>
    <x v="143"/>
    <s v="Packaging"/>
    <s v="Delivered"/>
    <n v="447"/>
    <n v="23.62"/>
    <n v="21.81"/>
    <n v="50"/>
    <x v="0"/>
  </r>
  <r>
    <s v="PO-00183"/>
    <s v="Delta_Logistics"/>
    <x v="151"/>
    <x v="144"/>
    <s v="Packaging"/>
    <s v="Partially Delivered"/>
    <n v="920"/>
    <n v="73.09"/>
    <n v="70.14"/>
    <m/>
    <x v="0"/>
  </r>
  <r>
    <s v="PO-00184"/>
    <s v="Epsilon_Group"/>
    <x v="152"/>
    <x v="145"/>
    <s v="Packaging"/>
    <s v="Partially Delivered"/>
    <n v="844"/>
    <n v="26.37"/>
    <n v="25.08"/>
    <n v="38"/>
    <x v="0"/>
  </r>
  <r>
    <s v="PO-00185"/>
    <s v="Epsilon_Group"/>
    <x v="1"/>
    <x v="13"/>
    <s v="MRO"/>
    <s v="Delivered"/>
    <n v="442"/>
    <n v="41.73"/>
    <n v="36.450000000000003"/>
    <n v="15"/>
    <x v="0"/>
  </r>
  <r>
    <s v="PO-00186"/>
    <s v="Beta_Supplies"/>
    <x v="153"/>
    <x v="40"/>
    <s v="Electronics"/>
    <s v="Cancelled"/>
    <n v="256"/>
    <n v="96.15"/>
    <n v="83.44"/>
    <n v="26"/>
    <x v="0"/>
  </r>
  <r>
    <s v="PO-00187"/>
    <s v="Delta_Logistics"/>
    <x v="154"/>
    <x v="13"/>
    <s v="MRO"/>
    <s v="Partially Delivered"/>
    <n v="1088"/>
    <n v="55.29"/>
    <n v="53.04"/>
    <n v="161"/>
    <x v="1"/>
  </r>
  <r>
    <s v="PO-00188"/>
    <s v="Beta_Supplies"/>
    <x v="155"/>
    <x v="146"/>
    <s v="Office Supplies"/>
    <s v="Delivered"/>
    <n v="1931"/>
    <n v="72.88"/>
    <n v="64.69"/>
    <n v="187"/>
    <x v="0"/>
  </r>
  <r>
    <s v="PO-00189"/>
    <s v="Gamma_Co"/>
    <x v="156"/>
    <x v="147"/>
    <s v="Electronics"/>
    <s v="Delivered"/>
    <n v="1627"/>
    <n v="25.76"/>
    <n v="25.09"/>
    <n v="74"/>
    <x v="0"/>
  </r>
  <r>
    <s v="PO-00190"/>
    <s v="Beta_Supplies"/>
    <x v="157"/>
    <x v="13"/>
    <s v="Packaging"/>
    <s v="Delivered"/>
    <n v="941"/>
    <n v="28.4"/>
    <n v="27.21"/>
    <m/>
    <x v="1"/>
  </r>
  <r>
    <s v="PO-00191"/>
    <s v="Gamma_Co"/>
    <x v="97"/>
    <x v="148"/>
    <s v="MRO"/>
    <s v="Delivered"/>
    <n v="1534"/>
    <n v="14.98"/>
    <n v="12.79"/>
    <m/>
    <x v="0"/>
  </r>
  <r>
    <s v="PO-00192"/>
    <s v="Alpha_Inc"/>
    <x v="49"/>
    <x v="149"/>
    <s v="Raw Materials"/>
    <s v="Delivered"/>
    <n v="1764"/>
    <n v="25.46"/>
    <n v="24.52"/>
    <n v="46"/>
    <x v="0"/>
  </r>
  <r>
    <s v="PO-00193"/>
    <s v="Delta_Logistics"/>
    <x v="158"/>
    <x v="150"/>
    <s v="Electronics"/>
    <s v="Delivered"/>
    <n v="1648"/>
    <n v="35.42"/>
    <n v="31.46"/>
    <m/>
    <x v="1"/>
  </r>
  <r>
    <s v="PO-00194"/>
    <s v="Gamma_Co"/>
    <x v="159"/>
    <x v="151"/>
    <s v="Packaging"/>
    <s v="Delivered"/>
    <n v="913"/>
    <n v="28.01"/>
    <n v="24.06"/>
    <n v="53"/>
    <x v="0"/>
  </r>
  <r>
    <s v="PO-00195"/>
    <s v="Alpha_Inc"/>
    <x v="160"/>
    <x v="152"/>
    <s v="Packaging"/>
    <s v="Cancelled"/>
    <n v="792"/>
    <n v="18.16"/>
    <n v="17.25"/>
    <n v="17"/>
    <x v="0"/>
  </r>
  <r>
    <s v="PO-00196"/>
    <s v="Epsilon_Group"/>
    <x v="161"/>
    <x v="153"/>
    <s v="Office Supplies"/>
    <s v="Partially Delivered"/>
    <n v="1314"/>
    <n v="22.63"/>
    <n v="21.06"/>
    <n v="44"/>
    <x v="0"/>
  </r>
  <r>
    <s v="PO-00197"/>
    <s v="Beta_Supplies"/>
    <x v="162"/>
    <x v="154"/>
    <s v="MRO"/>
    <s v="Delivered"/>
    <n v="613"/>
    <n v="52.5"/>
    <n v="45.19"/>
    <n v="70"/>
    <x v="0"/>
  </r>
  <r>
    <s v="PO-00198"/>
    <s v="Alpha_Inc"/>
    <x v="163"/>
    <x v="155"/>
    <s v="Office Supplies"/>
    <s v="Delivered"/>
    <n v="1070"/>
    <n v="29.14"/>
    <n v="26.63"/>
    <n v="24"/>
    <x v="0"/>
  </r>
  <r>
    <s v="PO-00199"/>
    <s v="Gamma_Co"/>
    <x v="164"/>
    <x v="156"/>
    <s v="Raw Materials"/>
    <s v="Partially Delivered"/>
    <n v="145"/>
    <n v="47.49"/>
    <n v="42.76"/>
    <n v="6"/>
    <x v="0"/>
  </r>
  <r>
    <s v="PO-00200"/>
    <s v="Delta_Logistics"/>
    <x v="165"/>
    <x v="157"/>
    <s v="Raw Materials"/>
    <s v="Delivered"/>
    <n v="1973"/>
    <n v="59.73"/>
    <n v="54.95"/>
    <n v="291"/>
    <x v="0"/>
  </r>
  <r>
    <s v="PO-00201"/>
    <s v="Epsilon_Group"/>
    <x v="166"/>
    <x v="158"/>
    <s v="Office Supplies"/>
    <s v="Delivered"/>
    <n v="1807"/>
    <n v="78.63"/>
    <n v="73.08"/>
    <n v="100"/>
    <x v="0"/>
  </r>
  <r>
    <s v="PO-00202"/>
    <s v="Epsilon_Group"/>
    <x v="167"/>
    <x v="159"/>
    <s v="Electronics"/>
    <s v="Delivered"/>
    <n v="534"/>
    <n v="13.88"/>
    <n v="12.51"/>
    <n v="100"/>
    <x v="0"/>
  </r>
  <r>
    <s v="PO-00203"/>
    <s v="Alpha_Inc"/>
    <x v="106"/>
    <x v="42"/>
    <s v="Electronics"/>
    <s v="Delivered"/>
    <n v="1480"/>
    <n v="85.22"/>
    <n v="75.48"/>
    <n v="100"/>
    <x v="0"/>
  </r>
  <r>
    <s v="PO-00204"/>
    <s v="Alpha_Inc"/>
    <x v="168"/>
    <x v="13"/>
    <s v="Office Supplies"/>
    <s v="Delivered"/>
    <n v="280"/>
    <n v="72.16"/>
    <n v="62.38"/>
    <n v="100"/>
    <x v="0"/>
  </r>
  <r>
    <s v="PO-00205"/>
    <s v="Beta_Supplies"/>
    <x v="169"/>
    <x v="160"/>
    <s v="Office Supplies"/>
    <s v="Cancelled"/>
    <n v="798"/>
    <n v="19.09"/>
    <n v="17.760000000000002"/>
    <n v="100"/>
    <x v="0"/>
  </r>
  <r>
    <s v="PO-00206"/>
    <s v="Epsilon_Group"/>
    <x v="170"/>
    <x v="161"/>
    <s v="Electronics"/>
    <s v="Delivered"/>
    <n v="1728"/>
    <n v="94.83"/>
    <n v="90.2"/>
    <n v="100"/>
    <x v="0"/>
  </r>
  <r>
    <s v="PO-00207"/>
    <s v="Epsilon_Group"/>
    <x v="96"/>
    <x v="13"/>
    <s v="MRO"/>
    <s v="Delivered"/>
    <n v="1244"/>
    <n v="96.13"/>
    <n v="84.78"/>
    <n v="43"/>
    <x v="0"/>
  </r>
  <r>
    <s v="PO-00208"/>
    <s v="Beta_Supplies"/>
    <x v="146"/>
    <x v="162"/>
    <s v="Office Supplies"/>
    <s v="Delivered"/>
    <n v="590"/>
    <n v="16.89"/>
    <n v="15.56"/>
    <n v="46"/>
    <x v="1"/>
  </r>
  <r>
    <s v="PO-00209"/>
    <s v="Delta_Logistics"/>
    <x v="171"/>
    <x v="163"/>
    <s v="Packaging"/>
    <s v="Delivered"/>
    <n v="1109"/>
    <n v="38.93"/>
    <n v="33.33"/>
    <n v="152"/>
    <x v="0"/>
  </r>
  <r>
    <s v="PO-00210"/>
    <s v="Beta_Supplies"/>
    <x v="172"/>
    <x v="51"/>
    <s v="MRO"/>
    <s v="Delivered"/>
    <n v="574"/>
    <n v="85.03"/>
    <n v="82.55"/>
    <n v="54"/>
    <x v="0"/>
  </r>
  <r>
    <s v="PO-00211"/>
    <s v="Gamma_Co"/>
    <x v="173"/>
    <x v="13"/>
    <s v="Office Supplies"/>
    <s v="Delivered"/>
    <n v="1233"/>
    <n v="86.62"/>
    <n v="76.59"/>
    <n v="65"/>
    <x v="0"/>
  </r>
  <r>
    <s v="PO-00212"/>
    <s v="Gamma_Co"/>
    <x v="174"/>
    <x v="164"/>
    <s v="Packaging"/>
    <s v="Delivered"/>
    <n v="1912"/>
    <n v="27.94"/>
    <n v="25.59"/>
    <n v="83"/>
    <x v="1"/>
  </r>
  <r>
    <s v="PO-00213"/>
    <s v="Alpha_Inc"/>
    <x v="113"/>
    <x v="165"/>
    <s v="Packaging"/>
    <s v="Delivered"/>
    <n v="1772"/>
    <n v="30.72"/>
    <n v="27.76"/>
    <n v="46"/>
    <x v="1"/>
  </r>
  <r>
    <s v="PO-00214"/>
    <s v="Beta_Supplies"/>
    <x v="175"/>
    <x v="166"/>
    <s v="Office Supplies"/>
    <s v="Delivered"/>
    <n v="1316"/>
    <n v="48.11"/>
    <n v="41.9"/>
    <n v="135"/>
    <x v="0"/>
  </r>
  <r>
    <s v="PO-00215"/>
    <s v="Beta_Supplies"/>
    <x v="23"/>
    <x v="13"/>
    <s v="Office Supplies"/>
    <s v="Delivered"/>
    <n v="1159"/>
    <n v="59.24"/>
    <n v="58.08"/>
    <m/>
    <x v="0"/>
  </r>
  <r>
    <s v="PO-00216"/>
    <s v="Alpha_Inc"/>
    <x v="144"/>
    <x v="167"/>
    <s v="Office Supplies"/>
    <s v="Delivered"/>
    <n v="1869"/>
    <n v="69.58"/>
    <n v="67.5"/>
    <n v="31"/>
    <x v="0"/>
  </r>
  <r>
    <s v="PO-00217"/>
    <s v="Delta_Logistics"/>
    <x v="176"/>
    <x v="168"/>
    <s v="Packaging"/>
    <s v="Delivered"/>
    <n v="627"/>
    <n v="46.23"/>
    <n v="42.87"/>
    <m/>
    <x v="0"/>
  </r>
  <r>
    <s v="PO-00218"/>
    <s v="Beta_Supplies"/>
    <x v="177"/>
    <x v="169"/>
    <s v="Raw Materials"/>
    <s v="Pending"/>
    <n v="731"/>
    <n v="56.02"/>
    <n v="54.78"/>
    <n v="70"/>
    <x v="1"/>
  </r>
  <r>
    <s v="PO-00219"/>
    <s v="Epsilon_Group"/>
    <x v="178"/>
    <x v="13"/>
    <s v="Office Supplies"/>
    <s v="Cancelled"/>
    <n v="606"/>
    <n v="83.07"/>
    <n v="79.22"/>
    <n v="16"/>
    <x v="0"/>
  </r>
  <r>
    <s v="PO-00220"/>
    <s v="Beta_Supplies"/>
    <x v="179"/>
    <x v="170"/>
    <s v="Office Supplies"/>
    <s v="Delivered"/>
    <n v="1647"/>
    <n v="13.57"/>
    <n v="12.33"/>
    <n v="157"/>
    <x v="0"/>
  </r>
  <r>
    <s v="PO-00221"/>
    <s v="Delta_Logistics"/>
    <x v="180"/>
    <x v="171"/>
    <s v="MRO"/>
    <s v="Delivered"/>
    <n v="1062"/>
    <n v="34.03"/>
    <n v="30.46"/>
    <m/>
    <x v="0"/>
  </r>
  <r>
    <s v="PO-00222"/>
    <s v="Beta_Supplies"/>
    <x v="181"/>
    <x v="16"/>
    <s v="Office Supplies"/>
    <s v="Delivered"/>
    <n v="695"/>
    <n v="76.8"/>
    <n v="69.760000000000005"/>
    <m/>
    <x v="1"/>
  </r>
  <r>
    <s v="PO-00223"/>
    <s v="Epsilon_Group"/>
    <x v="124"/>
    <x v="172"/>
    <s v="MRO"/>
    <s v="Delivered"/>
    <n v="845"/>
    <n v="91.47"/>
    <n v="86.97"/>
    <m/>
    <x v="0"/>
  </r>
  <r>
    <s v="PO-00224"/>
    <s v="Gamma_Co"/>
    <x v="182"/>
    <x v="173"/>
    <s v="MRO"/>
    <s v="Delivered"/>
    <n v="1101"/>
    <n v="59.13"/>
    <n v="52.51"/>
    <n v="54"/>
    <x v="0"/>
  </r>
  <r>
    <s v="PO-00225"/>
    <s v="Gamma_Co"/>
    <x v="183"/>
    <x v="174"/>
    <s v="Raw Materials"/>
    <s v="Delivered"/>
    <n v="1693"/>
    <n v="57.89"/>
    <n v="49.84"/>
    <n v="88"/>
    <x v="0"/>
  </r>
  <r>
    <s v="PO-00226"/>
    <s v="Delta_Logistics"/>
    <x v="184"/>
    <x v="175"/>
    <s v="Office Supplies"/>
    <s v="Cancelled"/>
    <n v="1629"/>
    <n v="21.51"/>
    <n v="19.41"/>
    <n v="250"/>
    <x v="1"/>
  </r>
  <r>
    <s v="PO-00227"/>
    <s v="Delta_Logistics"/>
    <x v="185"/>
    <x v="176"/>
    <s v="Raw Materials"/>
    <s v="Delivered"/>
    <n v="1413"/>
    <n v="54.79"/>
    <n v="50.42"/>
    <m/>
    <x v="0"/>
  </r>
  <r>
    <s v="PO-00228"/>
    <s v="Epsilon_Group"/>
    <x v="186"/>
    <x v="177"/>
    <s v="Packaging"/>
    <s v="Delivered"/>
    <n v="1871"/>
    <n v="59.96"/>
    <n v="58.54"/>
    <n v="47"/>
    <x v="0"/>
  </r>
  <r>
    <s v="PO-00229"/>
    <s v="Gamma_Co"/>
    <x v="184"/>
    <x v="13"/>
    <s v="Raw Materials"/>
    <s v="Delivered"/>
    <n v="1404"/>
    <n v="34.85"/>
    <n v="30.5"/>
    <n v="78"/>
    <x v="0"/>
  </r>
  <r>
    <s v="PO-00230"/>
    <s v="Gamma_Co"/>
    <x v="26"/>
    <x v="178"/>
    <s v="Electronics"/>
    <s v="Delivered"/>
    <n v="1713"/>
    <n v="35.43"/>
    <n v="34.11"/>
    <n v="74"/>
    <x v="0"/>
  </r>
  <r>
    <s v="PO-00231"/>
    <s v="Gamma_Co"/>
    <x v="187"/>
    <x v="179"/>
    <s v="Electronics"/>
    <s v="Delivered"/>
    <n v="1579"/>
    <n v="43.96"/>
    <n v="43.41"/>
    <n v="74"/>
    <x v="0"/>
  </r>
  <r>
    <s v="PO-00232"/>
    <s v="Gamma_Co"/>
    <x v="188"/>
    <x v="180"/>
    <s v="Electronics"/>
    <s v="Delivered"/>
    <n v="1421"/>
    <n v="11.92"/>
    <n v="11.72"/>
    <n v="76"/>
    <x v="0"/>
  </r>
  <r>
    <s v="PO-00233"/>
    <s v="Epsilon_Group"/>
    <x v="189"/>
    <x v="181"/>
    <s v="MRO"/>
    <s v="Delivered"/>
    <n v="1546"/>
    <n v="43.47"/>
    <n v="37.369999999999997"/>
    <n v="53"/>
    <x v="0"/>
  </r>
  <r>
    <s v="PO-00234"/>
    <s v="Delta_Logistics"/>
    <x v="190"/>
    <x v="182"/>
    <s v="Electronics"/>
    <s v="Delivered"/>
    <n v="1304"/>
    <n v="32.08"/>
    <n v="29.36"/>
    <m/>
    <x v="0"/>
  </r>
  <r>
    <s v="PO-00235"/>
    <s v="Delta_Logistics"/>
    <x v="191"/>
    <x v="13"/>
    <s v="Raw Materials"/>
    <s v="Delivered"/>
    <n v="239"/>
    <n v="39.869999999999997"/>
    <n v="35.47"/>
    <n v="32"/>
    <x v="0"/>
  </r>
  <r>
    <s v="PO-00236"/>
    <s v="Alpha_Inc"/>
    <x v="91"/>
    <x v="13"/>
    <s v="Office Supplies"/>
    <s v="Delivered"/>
    <n v="1298"/>
    <n v="21.51"/>
    <n v="20.83"/>
    <m/>
    <x v="0"/>
  </r>
  <r>
    <s v="PO-00237"/>
    <s v="Delta_Logistics"/>
    <x v="192"/>
    <x v="13"/>
    <s v="MRO"/>
    <s v="Delivered"/>
    <n v="1458"/>
    <n v="91.05"/>
    <n v="81.56"/>
    <n v="220"/>
    <x v="0"/>
  </r>
  <r>
    <s v="PO-00238"/>
    <s v="Gamma_Co"/>
    <x v="13"/>
    <x v="183"/>
    <s v="MRO"/>
    <s v="Delivered"/>
    <n v="1450"/>
    <n v="63.74"/>
    <n v="59.11"/>
    <n v="71"/>
    <x v="0"/>
  </r>
  <r>
    <s v="PO-00239"/>
    <s v="Beta_Supplies"/>
    <x v="193"/>
    <x v="184"/>
    <s v="Electronics"/>
    <s v="Delivered"/>
    <n v="1356"/>
    <n v="75.03"/>
    <n v="63.86"/>
    <n v="131"/>
    <x v="0"/>
  </r>
  <r>
    <s v="PO-00240"/>
    <s v="Gamma_Co"/>
    <x v="188"/>
    <x v="13"/>
    <s v="Packaging"/>
    <s v="Delivered"/>
    <n v="682"/>
    <n v="81.84"/>
    <n v="71.86"/>
    <n v="40"/>
    <x v="0"/>
  </r>
  <r>
    <s v="PO-00241"/>
    <s v="Gamma_Co"/>
    <x v="194"/>
    <x v="135"/>
    <s v="Packaging"/>
    <s v="Delivered"/>
    <n v="677"/>
    <n v="59.52"/>
    <n v="55.29"/>
    <n v="39"/>
    <x v="0"/>
  </r>
  <r>
    <s v="PO-00242"/>
    <s v="Delta_Logistics"/>
    <x v="195"/>
    <x v="185"/>
    <s v="Office Supplies"/>
    <s v="Delivered"/>
    <n v="1022"/>
    <n v="18.54"/>
    <n v="16.55"/>
    <n v="150"/>
    <x v="0"/>
  </r>
  <r>
    <s v="PO-00243"/>
    <s v="Alpha_Inc"/>
    <x v="196"/>
    <x v="13"/>
    <s v="Raw Materials"/>
    <s v="Delivered"/>
    <n v="1818"/>
    <n v="60.96"/>
    <n v="57.13"/>
    <n v="41"/>
    <x v="0"/>
  </r>
  <r>
    <s v="PO-00244"/>
    <s v="Epsilon_Group"/>
    <x v="197"/>
    <x v="166"/>
    <s v="Electronics"/>
    <s v="Delivered"/>
    <n v="1332"/>
    <n v="69.73"/>
    <n v="63.8"/>
    <n v="41"/>
    <x v="0"/>
  </r>
  <r>
    <s v="PO-00245"/>
    <s v="Beta_Supplies"/>
    <x v="159"/>
    <x v="186"/>
    <s v="Raw Materials"/>
    <s v="Delivered"/>
    <n v="1432"/>
    <n v="83.26"/>
    <n v="77.67"/>
    <n v="174"/>
    <x v="0"/>
  </r>
  <r>
    <s v="PO-00246"/>
    <s v="Beta_Supplies"/>
    <x v="198"/>
    <x v="187"/>
    <s v="Packaging"/>
    <s v="Pending"/>
    <n v="759"/>
    <n v="50.56"/>
    <n v="46.47"/>
    <n v="63"/>
    <x v="1"/>
  </r>
  <r>
    <s v="PO-00247"/>
    <s v="Alpha_Inc"/>
    <x v="146"/>
    <x v="98"/>
    <s v="Packaging"/>
    <s v="Delivered"/>
    <n v="1529"/>
    <n v="23.42"/>
    <n v="22.44"/>
    <n v="30"/>
    <x v="0"/>
  </r>
  <r>
    <s v="PO-00248"/>
    <s v="Gamma_Co"/>
    <x v="199"/>
    <x v="188"/>
    <s v="Electronics"/>
    <s v="Delivered"/>
    <n v="1484"/>
    <n v="36.25"/>
    <n v="31.8"/>
    <n v="61"/>
    <x v="0"/>
  </r>
  <r>
    <s v="PO-00249"/>
    <s v="Epsilon_Group"/>
    <x v="200"/>
    <x v="189"/>
    <s v="Packaging"/>
    <s v="Delivered"/>
    <n v="698"/>
    <n v="46.73"/>
    <n v="45.61"/>
    <n v="15"/>
    <x v="0"/>
  </r>
  <r>
    <s v="PO-00250"/>
    <s v="Epsilon_Group"/>
    <x v="201"/>
    <x v="190"/>
    <s v="Packaging"/>
    <s v="Pending"/>
    <n v="367"/>
    <n v="74.61"/>
    <n v="71.36"/>
    <n v="13"/>
    <x v="0"/>
  </r>
  <r>
    <s v="PO-00251"/>
    <s v="Epsilon_Group"/>
    <x v="202"/>
    <x v="191"/>
    <s v="Office Supplies"/>
    <s v="Partially Delivered"/>
    <n v="1750"/>
    <n v="65.97"/>
    <n v="58.34"/>
    <n v="50"/>
    <x v="0"/>
  </r>
  <r>
    <s v="PO-00252"/>
    <s v="Delta_Logistics"/>
    <x v="203"/>
    <x v="192"/>
    <s v="Office Supplies"/>
    <s v="Partially Delivered"/>
    <n v="1298"/>
    <n v="43.73"/>
    <n v="37.21"/>
    <m/>
    <x v="1"/>
  </r>
  <r>
    <s v="PO-00253"/>
    <s v="Gamma_Co"/>
    <x v="202"/>
    <x v="191"/>
    <s v="Packaging"/>
    <s v="Delivered"/>
    <n v="1892"/>
    <n v="106.2"/>
    <n v="96.37"/>
    <n v="93"/>
    <x v="0"/>
  </r>
  <r>
    <s v="PO-00254"/>
    <s v="Beta_Supplies"/>
    <x v="204"/>
    <x v="193"/>
    <s v="Electronics"/>
    <s v="Delivered"/>
    <n v="1307"/>
    <n v="68.709999999999994"/>
    <n v="60.64"/>
    <n v="141"/>
    <x v="0"/>
  </r>
  <r>
    <s v="PO-00255"/>
    <s v="Beta_Supplies"/>
    <x v="205"/>
    <x v="194"/>
    <s v="Electronics"/>
    <s v="Delivered"/>
    <n v="733"/>
    <n v="32.29"/>
    <n v="29.01"/>
    <n v="78"/>
    <x v="0"/>
  </r>
  <r>
    <s v="PO-00256"/>
    <s v="Gamma_Co"/>
    <x v="206"/>
    <x v="13"/>
    <s v="Packaging"/>
    <s v="Delivered"/>
    <n v="713"/>
    <n v="19.45"/>
    <n v="18.82"/>
    <n v="31"/>
    <x v="0"/>
  </r>
  <r>
    <s v="PO-00257"/>
    <s v="Beta_Supplies"/>
    <x v="39"/>
    <x v="131"/>
    <s v="Packaging"/>
    <s v="Delivered"/>
    <n v="1900"/>
    <n v="24.11"/>
    <n v="23.45"/>
    <n v="188"/>
    <x v="0"/>
  </r>
  <r>
    <s v="PO-00258"/>
    <s v="Delta_Logistics"/>
    <x v="207"/>
    <x v="195"/>
    <s v="MRO"/>
    <s v="Cancelled"/>
    <n v="1447"/>
    <n v="35.67"/>
    <n v="35.07"/>
    <n v="224"/>
    <x v="1"/>
  </r>
  <r>
    <s v="PO-00259"/>
    <s v="Epsilon_Group"/>
    <x v="208"/>
    <x v="13"/>
    <s v="Office Supplies"/>
    <s v="Delivered"/>
    <n v="1745"/>
    <n v="26.17"/>
    <n v="22.25"/>
    <n v="55"/>
    <x v="0"/>
  </r>
  <r>
    <s v="PO-00260"/>
    <s v="Beta_Supplies"/>
    <x v="209"/>
    <x v="196"/>
    <s v="Office Supplies"/>
    <s v="Delivered"/>
    <n v="1681"/>
    <n v="28.26"/>
    <n v="26.62"/>
    <n v="143"/>
    <x v="0"/>
  </r>
  <r>
    <s v="PO-00261"/>
    <s v="Delta_Logistics"/>
    <x v="170"/>
    <x v="197"/>
    <s v="Electronics"/>
    <s v="Delivered"/>
    <n v="1545"/>
    <n v="38.15"/>
    <n v="36.96"/>
    <n v="214"/>
    <x v="0"/>
  </r>
  <r>
    <s v="PO-00262"/>
    <s v="Epsilon_Group"/>
    <x v="210"/>
    <x v="198"/>
    <s v="Raw Materials"/>
    <s v="Delivered"/>
    <n v="1306"/>
    <n v="27.27"/>
    <n v="25.96"/>
    <n v="39"/>
    <x v="0"/>
  </r>
  <r>
    <s v="PO-00263"/>
    <s v="Gamma_Co"/>
    <x v="211"/>
    <x v="199"/>
    <s v="Raw Materials"/>
    <s v="Delivered"/>
    <n v="1765"/>
    <n v="97.51"/>
    <n v="84.3"/>
    <n v="65"/>
    <x v="0"/>
  </r>
  <r>
    <s v="PO-00264"/>
    <s v="Gamma_Co"/>
    <x v="212"/>
    <x v="53"/>
    <s v="Packaging"/>
    <s v="Cancelled"/>
    <n v="1186"/>
    <n v="17.309999999999999"/>
    <n v="16"/>
    <n v="64"/>
    <x v="0"/>
  </r>
  <r>
    <s v="PO-00265"/>
    <s v="Delta_Logistics"/>
    <x v="213"/>
    <x v="156"/>
    <s v="Packaging"/>
    <s v="Delivered"/>
    <n v="1903"/>
    <n v="63.5"/>
    <n v="56.09"/>
    <n v="254"/>
    <x v="0"/>
  </r>
  <r>
    <s v="PO-00266"/>
    <s v="Delta_Logistics"/>
    <x v="214"/>
    <x v="200"/>
    <s v="MRO"/>
    <s v="Delivered"/>
    <n v="1570"/>
    <n v="52.1"/>
    <n v="47.87"/>
    <m/>
    <x v="1"/>
  </r>
  <r>
    <s v="PO-00267"/>
    <s v="Delta_Logistics"/>
    <x v="215"/>
    <x v="201"/>
    <s v="MRO"/>
    <s v="Delivered"/>
    <n v="491"/>
    <n v="108.75"/>
    <n v="93.35"/>
    <m/>
    <x v="1"/>
  </r>
  <r>
    <s v="PO-00268"/>
    <s v="Beta_Supplies"/>
    <x v="216"/>
    <x v="202"/>
    <s v="Electronics"/>
    <s v="Partially Delivered"/>
    <n v="613"/>
    <n v="20.38"/>
    <n v="20.170000000000002"/>
    <n v="58"/>
    <x v="0"/>
  </r>
  <r>
    <s v="PO-00269"/>
    <s v="Gamma_Co"/>
    <x v="217"/>
    <x v="203"/>
    <s v="Raw Materials"/>
    <s v="Partially Delivered"/>
    <n v="1341"/>
    <n v="46.27"/>
    <n v="43.94"/>
    <n v="63"/>
    <x v="0"/>
  </r>
  <r>
    <s v="PO-00270"/>
    <s v="Beta_Supplies"/>
    <x v="218"/>
    <x v="165"/>
    <s v="MRO"/>
    <s v="Partially Delivered"/>
    <n v="1583"/>
    <n v="103.57"/>
    <n v="89.38"/>
    <n v="164"/>
    <x v="0"/>
  </r>
  <r>
    <s v="PO-00271"/>
    <s v="Beta_Supplies"/>
    <x v="219"/>
    <x v="13"/>
    <s v="Raw Materials"/>
    <s v="Cancelled"/>
    <n v="1880"/>
    <n v="92.73"/>
    <n v="90.78"/>
    <n v="173"/>
    <x v="0"/>
  </r>
  <r>
    <s v="PO-00272"/>
    <s v="Epsilon_Group"/>
    <x v="220"/>
    <x v="204"/>
    <s v="MRO"/>
    <s v="Delivered"/>
    <n v="1459"/>
    <n v="84.79"/>
    <n v="82.72"/>
    <n v="47"/>
    <x v="0"/>
  </r>
  <r>
    <s v="PO-00273"/>
    <s v="Delta_Logistics"/>
    <x v="221"/>
    <x v="13"/>
    <s v="Office Supplies"/>
    <s v="Delivered"/>
    <n v="1460"/>
    <n v="34.54"/>
    <n v="31.87"/>
    <n v="208"/>
    <x v="1"/>
  </r>
  <r>
    <s v="PO-00274"/>
    <s v="Beta_Supplies"/>
    <x v="56"/>
    <x v="136"/>
    <s v="Packaging"/>
    <s v="Partially Delivered"/>
    <n v="1186"/>
    <n v="26.14"/>
    <n v="24.78"/>
    <n v="112"/>
    <x v="0"/>
  </r>
  <r>
    <s v="PO-00275"/>
    <s v="Epsilon_Group"/>
    <x v="205"/>
    <x v="205"/>
    <s v="MRO"/>
    <s v="Pending"/>
    <n v="1686"/>
    <n v="72.28"/>
    <n v="65.209999999999994"/>
    <n v="53"/>
    <x v="0"/>
  </r>
  <r>
    <s v="PO-00276"/>
    <s v="Alpha_Inc"/>
    <x v="46"/>
    <x v="206"/>
    <s v="MRO"/>
    <s v="Delivered"/>
    <n v="1698"/>
    <n v="102.07"/>
    <n v="100.69"/>
    <n v="28"/>
    <x v="0"/>
  </r>
  <r>
    <s v="PO-00277"/>
    <s v="Epsilon_Group"/>
    <x v="27"/>
    <x v="13"/>
    <s v="Electronics"/>
    <s v="Delivered"/>
    <n v="1001"/>
    <n v="64.62"/>
    <n v="55.7"/>
    <n v="32"/>
    <x v="0"/>
  </r>
  <r>
    <s v="PO-00278"/>
    <s v="Alpha_Inc"/>
    <x v="222"/>
    <x v="95"/>
    <s v="Office Supplies"/>
    <s v="Delivered"/>
    <n v="1154"/>
    <n v="62.67"/>
    <n v="54.11"/>
    <n v="25"/>
    <x v="0"/>
  </r>
  <r>
    <s v="PO-00279"/>
    <s v="Alpha_Inc"/>
    <x v="12"/>
    <x v="207"/>
    <s v="Packaging"/>
    <s v="Cancelled"/>
    <n v="748"/>
    <n v="37.659999999999997"/>
    <n v="32.71"/>
    <m/>
    <x v="1"/>
  </r>
  <r>
    <s v="PO-00280"/>
    <s v="Alpha_Inc"/>
    <x v="223"/>
    <x v="13"/>
    <s v="Office Supplies"/>
    <s v="Delivered"/>
    <n v="162"/>
    <n v="81.63"/>
    <n v="78.760000000000005"/>
    <n v="2"/>
    <x v="0"/>
  </r>
  <r>
    <s v="PO-00281"/>
    <s v="Alpha_Inc"/>
    <x v="196"/>
    <x v="208"/>
    <s v="Packaging"/>
    <s v="Delivered"/>
    <n v="51"/>
    <n v="28.04"/>
    <n v="24.13"/>
    <n v="0"/>
    <x v="0"/>
  </r>
  <r>
    <s v="PO-00282"/>
    <s v="Delta_Logistics"/>
    <x v="81"/>
    <x v="209"/>
    <s v="Office Supplies"/>
    <s v="Delivered"/>
    <n v="691"/>
    <n v="42.07"/>
    <n v="39.1"/>
    <n v="106"/>
    <x v="0"/>
  </r>
  <r>
    <s v="PO-00283"/>
    <s v="Beta_Supplies"/>
    <x v="224"/>
    <x v="4"/>
    <s v="Office Supplies"/>
    <s v="Delivered"/>
    <n v="269"/>
    <n v="50.22"/>
    <n v="45.75"/>
    <n v="32"/>
    <x v="1"/>
  </r>
  <r>
    <s v="PO-00284"/>
    <s v="Beta_Supplies"/>
    <x v="225"/>
    <x v="150"/>
    <s v="Electronics"/>
    <s v="Pending"/>
    <n v="1639"/>
    <n v="56.24"/>
    <n v="55.4"/>
    <n v="147"/>
    <x v="0"/>
  </r>
  <r>
    <s v="PO-00285"/>
    <s v="Alpha_Inc"/>
    <x v="226"/>
    <x v="210"/>
    <s v="Raw Materials"/>
    <s v="Delivered"/>
    <n v="904"/>
    <n v="34.04"/>
    <n v="30.06"/>
    <n v="26"/>
    <x v="0"/>
  </r>
  <r>
    <s v="PO-00286"/>
    <s v="Beta_Supplies"/>
    <x v="227"/>
    <x v="211"/>
    <s v="Office Supplies"/>
    <s v="Delivered"/>
    <n v="1809"/>
    <n v="22.17"/>
    <n v="19.649999999999999"/>
    <m/>
    <x v="0"/>
  </r>
  <r>
    <s v="PO-00287"/>
    <s v="Alpha_Inc"/>
    <x v="216"/>
    <x v="212"/>
    <s v="Packaging"/>
    <s v="Delivered"/>
    <n v="1298"/>
    <n v="65.930000000000007"/>
    <n v="58.95"/>
    <m/>
    <x v="0"/>
  </r>
  <r>
    <s v="PO-00288"/>
    <s v="Beta_Supplies"/>
    <x v="228"/>
    <x v="213"/>
    <s v="Packaging"/>
    <s v="Delivered"/>
    <n v="434"/>
    <n v="36.159999999999997"/>
    <n v="34.79"/>
    <n v="41"/>
    <x v="0"/>
  </r>
  <r>
    <s v="PO-00289"/>
    <s v="Epsilon_Group"/>
    <x v="229"/>
    <x v="214"/>
    <s v="Electronics"/>
    <s v="Delivered"/>
    <n v="1476"/>
    <n v="68.849999999999994"/>
    <n v="65.28"/>
    <n v="43"/>
    <x v="0"/>
  </r>
  <r>
    <s v="PO-00290"/>
    <s v="Delta_Logistics"/>
    <x v="230"/>
    <x v="13"/>
    <s v="Raw Materials"/>
    <s v="Partially Delivered"/>
    <n v="1711"/>
    <n v="26.04"/>
    <n v="24.81"/>
    <n v="290"/>
    <x v="0"/>
  </r>
  <r>
    <s v="PO-00291"/>
    <s v="Gamma_Co"/>
    <x v="231"/>
    <x v="215"/>
    <s v="Packaging"/>
    <s v="Delivered"/>
    <n v="1203"/>
    <n v="53.3"/>
    <n v="47.68"/>
    <n v="49"/>
    <x v="0"/>
  </r>
  <r>
    <s v="PO-00292"/>
    <s v="Alpha_Inc"/>
    <x v="15"/>
    <x v="216"/>
    <s v="Electronics"/>
    <s v="Delivered"/>
    <n v="1126"/>
    <n v="58.8"/>
    <n v="52.22"/>
    <m/>
    <x v="0"/>
  </r>
  <r>
    <s v="PO-00293"/>
    <s v="Epsilon_Group"/>
    <x v="232"/>
    <x v="217"/>
    <s v="Packaging"/>
    <s v="Delivered"/>
    <n v="1757"/>
    <n v="15.18"/>
    <n v="13.06"/>
    <n v="63"/>
    <x v="0"/>
  </r>
  <r>
    <s v="PO-00294"/>
    <s v="Epsilon_Group"/>
    <x v="233"/>
    <x v="139"/>
    <s v="MRO"/>
    <s v="Delivered"/>
    <n v="779"/>
    <n v="41.3"/>
    <n v="36.28"/>
    <n v="20"/>
    <x v="0"/>
  </r>
  <r>
    <s v="PO-00295"/>
    <s v="Delta_Logistics"/>
    <x v="204"/>
    <x v="218"/>
    <s v="Office Supplies"/>
    <s v="Delivered"/>
    <n v="1745"/>
    <n v="23.53"/>
    <n v="22.57"/>
    <n v="282"/>
    <x v="1"/>
  </r>
  <r>
    <s v="PO-00296"/>
    <s v="Delta_Logistics"/>
    <x v="159"/>
    <x v="219"/>
    <s v="Raw Materials"/>
    <s v="Delivered"/>
    <n v="1783"/>
    <n v="16.96"/>
    <n v="15.8"/>
    <n v="295"/>
    <x v="0"/>
  </r>
  <r>
    <s v="PO-00297"/>
    <s v="Alpha_Inc"/>
    <x v="234"/>
    <x v="220"/>
    <s v="Office Supplies"/>
    <s v="Partially Delivered"/>
    <n v="1489"/>
    <n v="107.02"/>
    <n v="93.3"/>
    <m/>
    <x v="0"/>
  </r>
  <r>
    <s v="PO-00298"/>
    <s v="Alpha_Inc"/>
    <x v="235"/>
    <x v="221"/>
    <s v="Office Supplies"/>
    <s v="Delivered"/>
    <n v="296"/>
    <n v="40.380000000000003"/>
    <n v="35.25"/>
    <m/>
    <x v="0"/>
  </r>
  <r>
    <s v="PO-00299"/>
    <s v="Epsilon_Group"/>
    <x v="93"/>
    <x v="222"/>
    <s v="MRO"/>
    <s v="Delivered"/>
    <n v="885"/>
    <n v="88.28"/>
    <n v="80.8"/>
    <n v="31"/>
    <x v="0"/>
  </r>
  <r>
    <s v="PO-00300"/>
    <s v="Epsilon_Group"/>
    <x v="191"/>
    <x v="223"/>
    <s v="Raw Materials"/>
    <s v="Pending"/>
    <n v="1512"/>
    <n v="33.25"/>
    <n v="30.15"/>
    <n v="53"/>
    <x v="0"/>
  </r>
  <r>
    <s v="PO-00301"/>
    <s v="Delta_Logistics"/>
    <x v="236"/>
    <x v="108"/>
    <s v="Office Supplies"/>
    <s v="Delivered"/>
    <n v="252"/>
    <n v="73.12"/>
    <n v="67.64"/>
    <m/>
    <x v="1"/>
  </r>
  <r>
    <s v="PO-00302"/>
    <s v="Alpha_Inc"/>
    <x v="82"/>
    <x v="13"/>
    <s v="Electronics"/>
    <s v="Cancelled"/>
    <n v="1257"/>
    <n v="83.13"/>
    <n v="81.89"/>
    <n v="30"/>
    <x v="0"/>
  </r>
  <r>
    <s v="PO-00303"/>
    <s v="Alpha_Inc"/>
    <x v="237"/>
    <x v="224"/>
    <s v="Packaging"/>
    <s v="Delivered"/>
    <n v="172"/>
    <n v="63.61"/>
    <n v="55.92"/>
    <n v="4"/>
    <x v="0"/>
  </r>
  <r>
    <s v="PO-00304"/>
    <s v="Epsilon_Group"/>
    <x v="238"/>
    <x v="225"/>
    <s v="Packaging"/>
    <s v="Pending"/>
    <n v="450"/>
    <n v="55.85"/>
    <n v="49.88"/>
    <n v="9"/>
    <x v="0"/>
  </r>
  <r>
    <s v="PO-00305"/>
    <s v="Gamma_Co"/>
    <x v="106"/>
    <x v="99"/>
    <s v="Electronics"/>
    <s v="Delivered"/>
    <n v="816"/>
    <n v="48.95"/>
    <n v="43.42"/>
    <n v="45"/>
    <x v="0"/>
  </r>
  <r>
    <s v="PO-00306"/>
    <s v="Epsilon_Group"/>
    <x v="239"/>
    <x v="226"/>
    <s v="Packaging"/>
    <s v="Delivered"/>
    <n v="343"/>
    <n v="44.5"/>
    <n v="38.57"/>
    <n v="7"/>
    <x v="0"/>
  </r>
  <r>
    <s v="PO-00307"/>
    <s v="Gamma_Co"/>
    <x v="240"/>
    <x v="227"/>
    <s v="MRO"/>
    <s v="Delivered"/>
    <n v="329"/>
    <n v="97.87"/>
    <n v="85.35"/>
    <n v="21"/>
    <x v="1"/>
  </r>
  <r>
    <s v="PO-00308"/>
    <s v="Alpha_Inc"/>
    <x v="170"/>
    <x v="228"/>
    <s v="Electronics"/>
    <s v="Delivered"/>
    <n v="1910"/>
    <n v="90.69"/>
    <n v="85.8"/>
    <m/>
    <x v="0"/>
  </r>
  <r>
    <s v="PO-00309"/>
    <s v="Epsilon_Group"/>
    <x v="241"/>
    <x v="229"/>
    <s v="MRO"/>
    <s v="Delivered"/>
    <n v="933"/>
    <n v="107.99"/>
    <n v="104.29"/>
    <n v="29"/>
    <x v="0"/>
  </r>
  <r>
    <s v="PO-00310"/>
    <s v="Delta_Logistics"/>
    <x v="242"/>
    <x v="230"/>
    <s v="Raw Materials"/>
    <s v="Delivered"/>
    <n v="1683"/>
    <n v="23.09"/>
    <n v="21.88"/>
    <n v="253"/>
    <x v="0"/>
  </r>
  <r>
    <s v="PO-00311"/>
    <s v="Beta_Supplies"/>
    <x v="60"/>
    <x v="231"/>
    <s v="Packaging"/>
    <s v="Pending"/>
    <n v="247"/>
    <n v="84.11"/>
    <n v="71.97"/>
    <m/>
    <x v="0"/>
  </r>
  <r>
    <s v="PO-00312"/>
    <s v="Alpha_Inc"/>
    <x v="243"/>
    <x v="232"/>
    <s v="MRO"/>
    <s v="Delivered"/>
    <n v="1031"/>
    <n v="102.01"/>
    <n v="98.65"/>
    <m/>
    <x v="0"/>
  </r>
  <r>
    <s v="PO-00313"/>
    <s v="Alpha_Inc"/>
    <x v="244"/>
    <x v="233"/>
    <s v="Packaging"/>
    <s v="Delivered"/>
    <n v="1980"/>
    <n v="26.97"/>
    <n v="24.16"/>
    <n v="41"/>
    <x v="0"/>
  </r>
  <r>
    <s v="PO-00314"/>
    <s v="Epsilon_Group"/>
    <x v="205"/>
    <x v="234"/>
    <s v="Raw Materials"/>
    <s v="Delivered"/>
    <n v="1584"/>
    <n v="16.46"/>
    <n v="14.2"/>
    <n v="57"/>
    <x v="0"/>
  </r>
  <r>
    <s v="PO-00315"/>
    <s v="Beta_Supplies"/>
    <x v="245"/>
    <x v="235"/>
    <s v="Office Supplies"/>
    <s v="Delivered"/>
    <n v="801"/>
    <n v="80.150000000000006"/>
    <n v="70.91"/>
    <m/>
    <x v="0"/>
  </r>
  <r>
    <s v="PO-00316"/>
    <s v="Beta_Supplies"/>
    <x v="246"/>
    <x v="56"/>
    <s v="Packaging"/>
    <s v="Delivered"/>
    <n v="193"/>
    <n v="63.86"/>
    <n v="57.46"/>
    <m/>
    <x v="0"/>
  </r>
  <r>
    <s v="PO-00317"/>
    <s v="Beta_Supplies"/>
    <x v="156"/>
    <x v="43"/>
    <s v="Raw Materials"/>
    <s v="Delivered"/>
    <n v="658"/>
    <n v="86.62"/>
    <n v="79.849999999999994"/>
    <n v="72"/>
    <x v="0"/>
  </r>
  <r>
    <s v="PO-00318"/>
    <s v="Epsilon_Group"/>
    <x v="247"/>
    <x v="236"/>
    <s v="Electronics"/>
    <s v="Delivered"/>
    <n v="1274"/>
    <n v="24.72"/>
    <n v="23.36"/>
    <n v="37"/>
    <x v="0"/>
  </r>
  <r>
    <s v="PO-00319"/>
    <s v="Epsilon_Group"/>
    <x v="248"/>
    <x v="237"/>
    <s v="Packaging"/>
    <s v="Partially Delivered"/>
    <n v="1197"/>
    <n v="88.92"/>
    <n v="78.819999999999993"/>
    <n v="31"/>
    <x v="0"/>
  </r>
  <r>
    <s v="PO-00320"/>
    <s v="Gamma_Co"/>
    <x v="217"/>
    <x v="87"/>
    <s v="Electronics"/>
    <s v="Delivered"/>
    <n v="236"/>
    <n v="28.43"/>
    <n v="28.11"/>
    <n v="11"/>
    <x v="0"/>
  </r>
  <r>
    <s v="PO-00321"/>
    <s v="Gamma_Co"/>
    <x v="249"/>
    <x v="238"/>
    <s v="Raw Materials"/>
    <s v="Partially Delivered"/>
    <n v="1399"/>
    <n v="25.97"/>
    <n v="22.19"/>
    <n v="62"/>
    <x v="0"/>
  </r>
  <r>
    <s v="PO-00322"/>
    <s v="Gamma_Co"/>
    <x v="250"/>
    <x v="54"/>
    <s v="Electronics"/>
    <s v="Delivered"/>
    <n v="513"/>
    <n v="24.91"/>
    <n v="22.58"/>
    <n v="29"/>
    <x v="0"/>
  </r>
  <r>
    <s v="PO-00323"/>
    <s v="Delta_Logistics"/>
    <x v="228"/>
    <x v="54"/>
    <s v="MRO"/>
    <s v="Delivered"/>
    <n v="1422"/>
    <n v="83.73"/>
    <n v="76.47"/>
    <n v="198"/>
    <x v="0"/>
  </r>
  <r>
    <s v="PO-00324"/>
    <s v="Alpha_Inc"/>
    <x v="110"/>
    <x v="101"/>
    <s v="Office Supplies"/>
    <s v="Delivered"/>
    <n v="1844"/>
    <n v="76.510000000000005"/>
    <n v="73.05"/>
    <m/>
    <x v="0"/>
  </r>
  <r>
    <s v="PO-00325"/>
    <s v="Gamma_Co"/>
    <x v="251"/>
    <x v="13"/>
    <s v="Electronics"/>
    <s v="Delivered"/>
    <n v="709"/>
    <n v="61.64"/>
    <n v="54.55"/>
    <n v="41"/>
    <x v="0"/>
  </r>
  <r>
    <s v="PO-00326"/>
    <s v="Delta_Logistics"/>
    <x v="252"/>
    <x v="239"/>
    <s v="MRO"/>
    <s v="Delivered"/>
    <n v="813"/>
    <n v="45.68"/>
    <n v="41.78"/>
    <m/>
    <x v="1"/>
  </r>
  <r>
    <s v="PO-00327"/>
    <s v="Delta_Logistics"/>
    <x v="147"/>
    <x v="240"/>
    <s v="Office Supplies"/>
    <s v="Delivered"/>
    <n v="1004"/>
    <n v="96.51"/>
    <n v="92.9"/>
    <n v="146"/>
    <x v="1"/>
  </r>
  <r>
    <s v="PO-00328"/>
    <s v="Epsilon_Group"/>
    <x v="136"/>
    <x v="241"/>
    <s v="Raw Materials"/>
    <s v="Delivered"/>
    <n v="452"/>
    <n v="46.45"/>
    <n v="40.39"/>
    <n v="9"/>
    <x v="0"/>
  </r>
  <r>
    <s v="PO-00329"/>
    <s v="Beta_Supplies"/>
    <x v="250"/>
    <x v="87"/>
    <s v="Raw Materials"/>
    <s v="Pending"/>
    <n v="1419"/>
    <n v="83.91"/>
    <n v="71.459999999999994"/>
    <n v="137"/>
    <x v="0"/>
  </r>
  <r>
    <s v="PO-00330"/>
    <s v="Beta_Supplies"/>
    <x v="253"/>
    <x v="242"/>
    <s v="Packaging"/>
    <s v="Delivered"/>
    <n v="1584"/>
    <n v="53.73"/>
    <n v="51.92"/>
    <n v="167"/>
    <x v="1"/>
  </r>
  <r>
    <s v="PO-00331"/>
    <s v="Gamma_Co"/>
    <x v="254"/>
    <x v="57"/>
    <s v="MRO"/>
    <s v="Pending"/>
    <n v="196"/>
    <n v="44.36"/>
    <n v="43.81"/>
    <n v="6"/>
    <x v="0"/>
  </r>
  <r>
    <s v="PO-00332"/>
    <s v="Alpha_Inc"/>
    <x v="255"/>
    <x v="243"/>
    <s v="Office Supplies"/>
    <s v="Delivered"/>
    <n v="1221"/>
    <n v="53.19"/>
    <n v="46.18"/>
    <n v="29"/>
    <x v="0"/>
  </r>
  <r>
    <s v="PO-00333"/>
    <s v="Alpha_Inc"/>
    <x v="160"/>
    <x v="180"/>
    <s v="Packaging"/>
    <s v="Delivered"/>
    <n v="913"/>
    <n v="37.5"/>
    <n v="36.200000000000003"/>
    <m/>
    <x v="0"/>
  </r>
  <r>
    <s v="PO-00334"/>
    <s v="Alpha_Inc"/>
    <x v="256"/>
    <x v="236"/>
    <s v="Packaging"/>
    <s v="Delivered"/>
    <n v="1784"/>
    <n v="85.01"/>
    <n v="76.69"/>
    <n v="37"/>
    <x v="0"/>
  </r>
  <r>
    <s v="PO-00335"/>
    <s v="Delta_Logistics"/>
    <x v="192"/>
    <x v="13"/>
    <s v="Raw Materials"/>
    <s v="Delivered"/>
    <n v="1893"/>
    <n v="55.8"/>
    <n v="52.35"/>
    <m/>
    <x v="0"/>
  </r>
  <r>
    <s v="PO-00336"/>
    <s v="Delta_Logistics"/>
    <x v="257"/>
    <x v="244"/>
    <s v="Electronics"/>
    <s v="Pending"/>
    <n v="538"/>
    <n v="34.299999999999997"/>
    <n v="32.25"/>
    <n v="84"/>
    <x v="1"/>
  </r>
  <r>
    <s v="PO-00337"/>
    <s v="Delta_Logistics"/>
    <x v="258"/>
    <x v="245"/>
    <s v="Office Supplies"/>
    <s v="Pending"/>
    <n v="978"/>
    <n v="94.15"/>
    <n v="87.7"/>
    <n v="149"/>
    <x v="1"/>
  </r>
  <r>
    <s v="PO-00338"/>
    <s v="Epsilon_Group"/>
    <x v="259"/>
    <x v="246"/>
    <s v="Raw Materials"/>
    <s v="Cancelled"/>
    <n v="1713"/>
    <n v="47.45"/>
    <n v="42.05"/>
    <n v="53"/>
    <x v="0"/>
  </r>
  <r>
    <s v="PO-00339"/>
    <s v="Delta_Logistics"/>
    <x v="260"/>
    <x v="247"/>
    <s v="Raw Materials"/>
    <s v="Pending"/>
    <n v="600"/>
    <n v="60.1"/>
    <n v="57.92"/>
    <n v="95"/>
    <x v="1"/>
  </r>
  <r>
    <s v="PO-00340"/>
    <s v="Alpha_Inc"/>
    <x v="261"/>
    <x v="100"/>
    <s v="Electronics"/>
    <s v="Pending"/>
    <n v="387"/>
    <n v="100.28"/>
    <n v="85.54"/>
    <n v="5"/>
    <x v="0"/>
  </r>
  <r>
    <s v="PO-00341"/>
    <s v="Alpha_Inc"/>
    <x v="107"/>
    <x v="171"/>
    <s v="MRO"/>
    <s v="Pending"/>
    <n v="921"/>
    <n v="68.83"/>
    <n v="59.13"/>
    <n v="22"/>
    <x v="0"/>
  </r>
  <r>
    <s v="PO-00342"/>
    <s v="Beta_Supplies"/>
    <x v="262"/>
    <x v="248"/>
    <s v="MRO"/>
    <s v="Delivered"/>
    <n v="690"/>
    <n v="22.47"/>
    <n v="21.94"/>
    <n v="77"/>
    <x v="0"/>
  </r>
  <r>
    <s v="PO-00343"/>
    <s v="Alpha_Inc"/>
    <x v="263"/>
    <x v="249"/>
    <s v="Office Supplies"/>
    <s v="Cancelled"/>
    <n v="1852"/>
    <n v="104.04"/>
    <n v="94.89"/>
    <n v="36"/>
    <x v="0"/>
  </r>
  <r>
    <s v="PO-00344"/>
    <s v="Delta_Logistics"/>
    <x v="264"/>
    <x v="106"/>
    <s v="Electronics"/>
    <s v="Delivered"/>
    <n v="522"/>
    <n v="66.83"/>
    <n v="58.01"/>
    <n v="74"/>
    <x v="0"/>
  </r>
  <r>
    <s v="PO-00345"/>
    <s v="Delta_Logistics"/>
    <x v="265"/>
    <x v="250"/>
    <s v="Electronics"/>
    <s v="Delivered"/>
    <n v="200"/>
    <n v="44.16"/>
    <n v="43.13"/>
    <n v="21"/>
    <x v="0"/>
  </r>
  <r>
    <s v="PO-00346"/>
    <s v="Gamma_Co"/>
    <x v="266"/>
    <x v="149"/>
    <s v="Packaging"/>
    <s v="Delivered"/>
    <n v="1488"/>
    <n v="22.76"/>
    <n v="21.99"/>
    <m/>
    <x v="0"/>
  </r>
  <r>
    <s v="PO-00347"/>
    <s v="Epsilon_Group"/>
    <x v="25"/>
    <x v="251"/>
    <s v="Electronics"/>
    <s v="Delivered"/>
    <n v="1371"/>
    <n v="87.16"/>
    <n v="78.13"/>
    <n v="43"/>
    <x v="0"/>
  </r>
  <r>
    <s v="PO-00348"/>
    <s v="Alpha_Inc"/>
    <x v="267"/>
    <x v="13"/>
    <s v="Office Supplies"/>
    <s v="Delivered"/>
    <n v="1684"/>
    <n v="73.05"/>
    <n v="62.53"/>
    <m/>
    <x v="0"/>
  </r>
  <r>
    <s v="PO-00349"/>
    <s v="Epsilon_Group"/>
    <x v="112"/>
    <x v="252"/>
    <s v="Electronics"/>
    <s v="Delivered"/>
    <n v="312"/>
    <n v="63.52"/>
    <n v="58.09"/>
    <m/>
    <x v="0"/>
  </r>
  <r>
    <s v="PO-00350"/>
    <s v="Alpha_Inc"/>
    <x v="268"/>
    <x v="253"/>
    <s v="Packaging"/>
    <s v="Cancelled"/>
    <n v="1837"/>
    <n v="99.04"/>
    <n v="86.51"/>
    <n v="39"/>
    <x v="0"/>
  </r>
  <r>
    <s v="PO-00351"/>
    <s v="Beta_Supplies"/>
    <x v="269"/>
    <x v="242"/>
    <s v="MRO"/>
    <s v="Delivered"/>
    <n v="193"/>
    <n v="87.86"/>
    <n v="81.739999999999995"/>
    <n v="21"/>
    <x v="0"/>
  </r>
  <r>
    <s v="PO-00352"/>
    <s v="Beta_Supplies"/>
    <x v="92"/>
    <x v="133"/>
    <s v="Electronics"/>
    <s v="Delivered"/>
    <n v="395"/>
    <n v="24.83"/>
    <n v="23.96"/>
    <n v="31"/>
    <x v="0"/>
  </r>
  <r>
    <s v="PO-00353"/>
    <s v="Epsilon_Group"/>
    <x v="270"/>
    <x v="254"/>
    <s v="Electronics"/>
    <s v="Cancelled"/>
    <n v="673"/>
    <n v="39.58"/>
    <n v="35.83"/>
    <n v="25"/>
    <x v="0"/>
  </r>
  <r>
    <s v="PO-00354"/>
    <s v="Delta_Logistics"/>
    <x v="271"/>
    <x v="255"/>
    <s v="Office Supplies"/>
    <s v="Cancelled"/>
    <n v="1066"/>
    <n v="33.33"/>
    <n v="28.47"/>
    <n v="162"/>
    <x v="1"/>
  </r>
  <r>
    <s v="PO-00355"/>
    <s v="Gamma_Co"/>
    <x v="197"/>
    <x v="256"/>
    <s v="Packaging"/>
    <s v="Delivered"/>
    <n v="1645"/>
    <n v="85.42"/>
    <n v="80.78"/>
    <n v="73"/>
    <x v="1"/>
  </r>
  <r>
    <s v="PO-00356"/>
    <s v="Alpha_Inc"/>
    <x v="249"/>
    <x v="257"/>
    <s v="Electronics"/>
    <s v="Delivered"/>
    <n v="930"/>
    <n v="13.67"/>
    <n v="11.95"/>
    <n v="16"/>
    <x v="0"/>
  </r>
  <r>
    <s v="PO-00357"/>
    <s v="Alpha_Inc"/>
    <x v="272"/>
    <x v="96"/>
    <s v="Office Supplies"/>
    <s v="Delivered"/>
    <n v="51"/>
    <n v="63.74"/>
    <n v="56.1"/>
    <n v="0"/>
    <x v="0"/>
  </r>
  <r>
    <s v="PO-00358"/>
    <s v="Gamma_Co"/>
    <x v="106"/>
    <x v="258"/>
    <s v="Packaging"/>
    <s v="Delivered"/>
    <n v="946"/>
    <n v="81.77"/>
    <n v="71.650000000000006"/>
    <n v="55"/>
    <x v="0"/>
  </r>
  <r>
    <s v="PO-00359"/>
    <s v="Epsilon_Group"/>
    <x v="102"/>
    <x v="198"/>
    <s v="Raw Materials"/>
    <s v="Partially Delivered"/>
    <n v="1377"/>
    <n v="94.69"/>
    <n v="84.2"/>
    <m/>
    <x v="0"/>
  </r>
  <r>
    <s v="PO-00360"/>
    <s v="Epsilon_Group"/>
    <x v="273"/>
    <x v="259"/>
    <s v="Packaging"/>
    <s v="Cancelled"/>
    <n v="303"/>
    <n v="41.6"/>
    <n v="40.51"/>
    <n v="11"/>
    <x v="0"/>
  </r>
  <r>
    <s v="PO-00361"/>
    <s v="Alpha_Inc"/>
    <x v="175"/>
    <x v="260"/>
    <s v="Raw Materials"/>
    <s v="Delivered"/>
    <n v="1725"/>
    <n v="93.14"/>
    <n v="79.62"/>
    <n v="24"/>
    <x v="0"/>
  </r>
  <r>
    <s v="PO-00362"/>
    <s v="Beta_Supplies"/>
    <x v="274"/>
    <x v="121"/>
    <s v="Raw Materials"/>
    <s v="Cancelled"/>
    <n v="502"/>
    <n v="22.05"/>
    <n v="20.65"/>
    <n v="50"/>
    <x v="1"/>
  </r>
  <r>
    <s v="PO-00363"/>
    <s v="Gamma_Co"/>
    <x v="275"/>
    <x v="261"/>
    <s v="Packaging"/>
    <s v="Delivered"/>
    <n v="1110"/>
    <n v="90.49"/>
    <n v="80.03"/>
    <n v="61"/>
    <x v="0"/>
  </r>
  <r>
    <s v="PO-00364"/>
    <s v="Alpha_Inc"/>
    <x v="276"/>
    <x v="262"/>
    <s v="Packaging"/>
    <s v="Delivered"/>
    <n v="1233"/>
    <n v="23.08"/>
    <n v="20.57"/>
    <m/>
    <x v="0"/>
  </r>
  <r>
    <s v="PO-00365"/>
    <s v="Beta_Supplies"/>
    <x v="92"/>
    <x v="263"/>
    <s v="Office Supplies"/>
    <s v="Delivered"/>
    <n v="1064"/>
    <n v="48.04"/>
    <n v="43.6"/>
    <n v="94"/>
    <x v="0"/>
  </r>
  <r>
    <s v="PO-00366"/>
    <s v="Epsilon_Group"/>
    <x v="277"/>
    <x v="264"/>
    <s v="Packaging"/>
    <s v="Partially Delivered"/>
    <n v="58"/>
    <n v="82.57"/>
    <n v="76.55"/>
    <m/>
    <x v="0"/>
  </r>
  <r>
    <s v="PO-00367"/>
    <s v="Beta_Supplies"/>
    <x v="278"/>
    <x v="224"/>
    <s v="MRO"/>
    <s v="Delivered"/>
    <n v="1306"/>
    <n v="23.49"/>
    <n v="20.170000000000002"/>
    <n v="116"/>
    <x v="1"/>
  </r>
  <r>
    <s v="PO-00368"/>
    <s v="Delta_Logistics"/>
    <x v="104"/>
    <x v="265"/>
    <s v="Electronics"/>
    <s v="Delivered"/>
    <n v="1172"/>
    <n v="32.93"/>
    <n v="29.28"/>
    <m/>
    <x v="1"/>
  </r>
  <r>
    <s v="PO-00369"/>
    <s v="Alpha_Inc"/>
    <x v="279"/>
    <x v="13"/>
    <s v="Packaging"/>
    <s v="Delivered"/>
    <n v="1732"/>
    <n v="82.5"/>
    <n v="71.709999999999994"/>
    <n v="24"/>
    <x v="0"/>
  </r>
  <r>
    <s v="PO-00370"/>
    <s v="Gamma_Co"/>
    <x v="280"/>
    <x v="46"/>
    <s v="Raw Materials"/>
    <s v="Delivered"/>
    <n v="865"/>
    <n v="81.540000000000006"/>
    <n v="71.59"/>
    <n v="39"/>
    <x v="0"/>
  </r>
  <r>
    <s v="PO-00371"/>
    <s v="Beta_Supplies"/>
    <x v="281"/>
    <x v="202"/>
    <s v="Raw Materials"/>
    <s v="Delivered"/>
    <n v="257"/>
    <n v="68.72"/>
    <n v="66.92"/>
    <n v="22"/>
    <x v="0"/>
  </r>
  <r>
    <s v="PO-00372"/>
    <s v="Epsilon_Group"/>
    <x v="282"/>
    <x v="180"/>
    <s v="Packaging"/>
    <s v="Delivered"/>
    <n v="1204"/>
    <n v="73.180000000000007"/>
    <n v="67.59"/>
    <n v="31"/>
    <x v="0"/>
  </r>
  <r>
    <s v="PO-00373"/>
    <s v="Beta_Supplies"/>
    <x v="283"/>
    <x v="74"/>
    <s v="Electronics"/>
    <s v="Partially Delivered"/>
    <n v="453"/>
    <n v="64.14"/>
    <n v="60.18"/>
    <n v="51"/>
    <x v="0"/>
  </r>
  <r>
    <s v="PO-00374"/>
    <s v="Epsilon_Group"/>
    <x v="235"/>
    <x v="266"/>
    <s v="Electronics"/>
    <s v="Delivered"/>
    <n v="201"/>
    <n v="33.81"/>
    <n v="32.54"/>
    <n v="3"/>
    <x v="0"/>
  </r>
  <r>
    <s v="PO-00375"/>
    <s v="Delta_Logistics"/>
    <x v="284"/>
    <x v="169"/>
    <s v="Office Supplies"/>
    <s v="Delivered"/>
    <n v="103"/>
    <n v="44.61"/>
    <n v="42.88"/>
    <n v="10"/>
    <x v="0"/>
  </r>
  <r>
    <s v="PO-00376"/>
    <s v="Epsilon_Group"/>
    <x v="106"/>
    <x v="267"/>
    <s v="Office Supplies"/>
    <s v="Delivered"/>
    <n v="1193"/>
    <n v="27.4"/>
    <n v="27.09"/>
    <m/>
    <x v="0"/>
  </r>
  <r>
    <s v="PO-00377"/>
    <s v="Gamma_Co"/>
    <x v="199"/>
    <x v="268"/>
    <s v="Office Supplies"/>
    <s v="Partially Delivered"/>
    <n v="1746"/>
    <n v="93.6"/>
    <n v="89.81"/>
    <n v="85"/>
    <x v="0"/>
  </r>
  <r>
    <s v="PO-00378"/>
    <s v="Delta_Logistics"/>
    <x v="285"/>
    <x v="269"/>
    <s v="Electronics"/>
    <s v="Delivered"/>
    <n v="1993"/>
    <n v="65.94"/>
    <n v="59.36"/>
    <m/>
    <x v="0"/>
  </r>
  <r>
    <s v="PO-00379"/>
    <s v="Beta_Supplies"/>
    <x v="160"/>
    <x v="270"/>
    <s v="Raw Materials"/>
    <s v="Delivered"/>
    <n v="677"/>
    <n v="46.54"/>
    <n v="43.11"/>
    <m/>
    <x v="1"/>
  </r>
  <r>
    <s v="PO-00380"/>
    <s v="Alpha_Inc"/>
    <x v="4"/>
    <x v="13"/>
    <s v="Office Supplies"/>
    <s v="Pending"/>
    <n v="636"/>
    <n v="53.64"/>
    <n v="49.23"/>
    <n v="18"/>
    <x v="0"/>
  </r>
  <r>
    <s v="PO-00381"/>
    <s v="Epsilon_Group"/>
    <x v="286"/>
    <x v="38"/>
    <s v="Packaging"/>
    <s v="Delivered"/>
    <n v="1698"/>
    <n v="100.97"/>
    <n v="98.73"/>
    <n v="52"/>
    <x v="0"/>
  </r>
  <r>
    <s v="PO-00382"/>
    <s v="Gamma_Co"/>
    <x v="287"/>
    <x v="60"/>
    <s v="Office Supplies"/>
    <s v="Delivered"/>
    <n v="1493"/>
    <n v="24.87"/>
    <n v="22.89"/>
    <n v="56"/>
    <x v="0"/>
  </r>
  <r>
    <s v="PO-00383"/>
    <s v="Alpha_Inc"/>
    <x v="136"/>
    <x v="271"/>
    <s v="Packaging"/>
    <s v="Delivered"/>
    <n v="1495"/>
    <n v="64.33"/>
    <n v="58.18"/>
    <n v="26"/>
    <x v="0"/>
  </r>
  <r>
    <s v="PO-00384"/>
    <s v="Alpha_Inc"/>
    <x v="176"/>
    <x v="272"/>
    <s v="Packaging"/>
    <s v="Cancelled"/>
    <n v="153"/>
    <n v="59.42"/>
    <n v="52"/>
    <n v="3"/>
    <x v="0"/>
  </r>
  <r>
    <s v="PO-00385"/>
    <s v="Delta_Logistics"/>
    <x v="288"/>
    <x v="273"/>
    <s v="Raw Materials"/>
    <s v="Cancelled"/>
    <n v="1925"/>
    <n v="70.88"/>
    <n v="63.41"/>
    <n v="292"/>
    <x v="0"/>
  </r>
  <r>
    <s v="PO-00386"/>
    <s v="Beta_Supplies"/>
    <x v="289"/>
    <x v="274"/>
    <s v="Packaging"/>
    <s v="Delivered"/>
    <n v="303"/>
    <n v="12.97"/>
    <n v="11.42"/>
    <m/>
    <x v="1"/>
  </r>
  <r>
    <s v="PO-00387"/>
    <s v="Alpha_Inc"/>
    <x v="290"/>
    <x v="275"/>
    <s v="Office Supplies"/>
    <s v="Delivered"/>
    <n v="1300"/>
    <n v="92.92"/>
    <n v="90.63"/>
    <m/>
    <x v="0"/>
  </r>
  <r>
    <s v="PO-00388"/>
    <s v="Gamma_Co"/>
    <x v="291"/>
    <x v="276"/>
    <s v="Raw Materials"/>
    <s v="Delivered"/>
    <n v="1185"/>
    <n v="103.28"/>
    <n v="99.05"/>
    <m/>
    <x v="0"/>
  </r>
  <r>
    <s v="PO-00389"/>
    <s v="Epsilon_Group"/>
    <x v="214"/>
    <x v="277"/>
    <s v="Raw Materials"/>
    <s v="Delivered"/>
    <n v="559"/>
    <n v="67.56"/>
    <n v="57.98"/>
    <n v="15"/>
    <x v="0"/>
  </r>
  <r>
    <s v="PO-00390"/>
    <s v="Epsilon_Group"/>
    <x v="128"/>
    <x v="278"/>
    <s v="Electronics"/>
    <s v="Pending"/>
    <n v="1546"/>
    <n v="78.88"/>
    <n v="78"/>
    <n v="38"/>
    <x v="0"/>
  </r>
  <r>
    <s v="PO-00391"/>
    <s v="Epsilon_Group"/>
    <x v="292"/>
    <x v="279"/>
    <s v="Packaging"/>
    <s v="Delivered"/>
    <n v="148"/>
    <n v="93.02"/>
    <n v="85.96"/>
    <n v="4"/>
    <x v="0"/>
  </r>
  <r>
    <s v="PO-00392"/>
    <s v="Delta_Logistics"/>
    <x v="293"/>
    <x v="256"/>
    <s v="Office Supplies"/>
    <s v="Delivered"/>
    <n v="202"/>
    <n v="81.75"/>
    <n v="78.260000000000005"/>
    <n v="37"/>
    <x v="1"/>
  </r>
  <r>
    <s v="PO-00393"/>
    <s v="Gamma_Co"/>
    <x v="185"/>
    <x v="280"/>
    <s v="Packaging"/>
    <s v="Delivered"/>
    <n v="1934"/>
    <n v="25.86"/>
    <n v="25.6"/>
    <n v="78"/>
    <x v="0"/>
  </r>
  <r>
    <s v="PO-00394"/>
    <s v="Alpha_Inc"/>
    <x v="294"/>
    <x v="281"/>
    <s v="Office Supplies"/>
    <s v="Delivered"/>
    <n v="963"/>
    <n v="64.959999999999994"/>
    <n v="64.069999999999993"/>
    <n v="20"/>
    <x v="0"/>
  </r>
  <r>
    <s v="PO-00395"/>
    <s v="Gamma_Co"/>
    <x v="295"/>
    <x v="231"/>
    <s v="MRO"/>
    <s v="Delivered"/>
    <n v="1969"/>
    <n v="71.709999999999994"/>
    <n v="61.96"/>
    <m/>
    <x v="0"/>
  </r>
  <r>
    <s v="PO-00396"/>
    <s v="Delta_Logistics"/>
    <x v="296"/>
    <x v="13"/>
    <s v="Electronics"/>
    <s v="Delivered"/>
    <n v="927"/>
    <n v="48.89"/>
    <n v="46.05"/>
    <n v="138"/>
    <x v="0"/>
  </r>
  <r>
    <s v="PO-00397"/>
    <s v="Delta_Logistics"/>
    <x v="297"/>
    <x v="282"/>
    <s v="Raw Materials"/>
    <s v="Cancelled"/>
    <n v="387"/>
    <n v="77.81"/>
    <n v="69.040000000000006"/>
    <n v="67"/>
    <x v="0"/>
  </r>
  <r>
    <s v="PO-00398"/>
    <s v="Beta_Supplies"/>
    <x v="43"/>
    <x v="283"/>
    <s v="Electronics"/>
    <s v="Delivered"/>
    <n v="1779"/>
    <n v="97.86"/>
    <n v="94.36"/>
    <n v="176"/>
    <x v="0"/>
  </r>
  <r>
    <s v="PO-00399"/>
    <s v="Gamma_Co"/>
    <x v="298"/>
    <x v="1"/>
    <s v="MRO"/>
    <s v="Pending"/>
    <n v="871"/>
    <n v="94.7"/>
    <n v="92.66"/>
    <n v="46"/>
    <x v="0"/>
  </r>
  <r>
    <s v="PO-00400"/>
    <s v="Epsilon_Group"/>
    <x v="299"/>
    <x v="284"/>
    <s v="Electronics"/>
    <s v="Delivered"/>
    <n v="1236"/>
    <n v="51.33"/>
    <n v="44.03"/>
    <n v="25"/>
    <x v="0"/>
  </r>
  <r>
    <s v="PO-00401"/>
    <s v="Delta_Logistics"/>
    <x v="130"/>
    <x v="148"/>
    <s v="Electronics"/>
    <s v="Delivered"/>
    <n v="1793"/>
    <n v="22.01"/>
    <n v="21.78"/>
    <n v="285"/>
    <x v="0"/>
  </r>
  <r>
    <s v="PO-00402"/>
    <s v="Delta_Logistics"/>
    <x v="34"/>
    <x v="139"/>
    <s v="MRO"/>
    <s v="Delivered"/>
    <n v="1006"/>
    <n v="101.1"/>
    <n v="89.04"/>
    <n v="139"/>
    <x v="0"/>
  </r>
  <r>
    <s v="PO-00403"/>
    <s v="Beta_Supplies"/>
    <x v="300"/>
    <x v="285"/>
    <s v="Electronics"/>
    <s v="Cancelled"/>
    <n v="1754"/>
    <n v="89.35"/>
    <n v="86.54"/>
    <n v="161"/>
    <x v="1"/>
  </r>
  <r>
    <s v="PO-00404"/>
    <s v="Epsilon_Group"/>
    <x v="301"/>
    <x v="286"/>
    <s v="Electronics"/>
    <s v="Delivered"/>
    <n v="210"/>
    <n v="22.17"/>
    <n v="21.32"/>
    <n v="10"/>
    <x v="0"/>
  </r>
  <r>
    <s v="PO-00405"/>
    <s v="Delta_Logistics"/>
    <x v="302"/>
    <x v="287"/>
    <s v="MRO"/>
    <s v="Delivered"/>
    <n v="1653"/>
    <n v="102.16"/>
    <n v="91.91"/>
    <n v="217"/>
    <x v="0"/>
  </r>
  <r>
    <s v="PO-00406"/>
    <s v="Alpha_Inc"/>
    <x v="303"/>
    <x v="90"/>
    <s v="MRO"/>
    <s v="Partially Delivered"/>
    <n v="850"/>
    <n v="91.38"/>
    <n v="88.41"/>
    <n v="24"/>
    <x v="0"/>
  </r>
  <r>
    <s v="PO-00407"/>
    <s v="Epsilon_Group"/>
    <x v="304"/>
    <x v="288"/>
    <s v="Raw Materials"/>
    <s v="Delivered"/>
    <n v="447"/>
    <n v="59.81"/>
    <n v="57.92"/>
    <n v="13"/>
    <x v="0"/>
  </r>
  <r>
    <s v="PO-00408"/>
    <s v="Gamma_Co"/>
    <x v="305"/>
    <x v="289"/>
    <s v="Office Supplies"/>
    <s v="Delivered"/>
    <n v="1350"/>
    <n v="65.11"/>
    <n v="56.95"/>
    <n v="71"/>
    <x v="0"/>
  </r>
  <r>
    <s v="PO-00409"/>
    <s v="Beta_Supplies"/>
    <x v="306"/>
    <x v="290"/>
    <s v="Office Supplies"/>
    <s v="Delivered"/>
    <n v="865"/>
    <n v="51.19"/>
    <n v="47.76"/>
    <n v="83"/>
    <x v="0"/>
  </r>
  <r>
    <s v="PO-00410"/>
    <s v="Alpha_Inc"/>
    <x v="307"/>
    <x v="291"/>
    <s v="MRO"/>
    <s v="Delivered"/>
    <n v="1989"/>
    <n v="16.5"/>
    <n v="15.89"/>
    <n v="57"/>
    <x v="0"/>
  </r>
  <r>
    <s v="PO-00411"/>
    <s v="Alpha_Inc"/>
    <x v="43"/>
    <x v="94"/>
    <s v="Office Supplies"/>
    <s v="Delivered"/>
    <n v="1577"/>
    <n v="41.77"/>
    <n v="39.58"/>
    <n v="32"/>
    <x v="0"/>
  </r>
  <r>
    <s v="PO-00412"/>
    <s v="Gamma_Co"/>
    <x v="18"/>
    <x v="292"/>
    <s v="Packaging"/>
    <s v="Pending"/>
    <n v="1969"/>
    <n v="89.25"/>
    <n v="87.28"/>
    <n v="108"/>
    <x v="1"/>
  </r>
  <r>
    <s v="PO-00413"/>
    <s v="Beta_Supplies"/>
    <x v="151"/>
    <x v="186"/>
    <s v="Packaging"/>
    <s v="Partially Delivered"/>
    <n v="1465"/>
    <n v="11.25"/>
    <n v="9.61"/>
    <n v="151"/>
    <x v="0"/>
  </r>
  <r>
    <s v="PO-00414"/>
    <s v="Delta_Logistics"/>
    <x v="129"/>
    <x v="293"/>
    <s v="Packaging"/>
    <s v="Pending"/>
    <n v="1208"/>
    <n v="41.62"/>
    <n v="39.46"/>
    <m/>
    <x v="0"/>
  </r>
  <r>
    <s v="PO-00415"/>
    <s v="Beta_Supplies"/>
    <x v="308"/>
    <x v="147"/>
    <s v="Raw Materials"/>
    <s v="Delivered"/>
    <n v="1268"/>
    <n v="46.06"/>
    <n v="45.26"/>
    <n v="123"/>
    <x v="0"/>
  </r>
  <r>
    <s v="PO-00416"/>
    <s v="Delta_Logistics"/>
    <x v="37"/>
    <x v="131"/>
    <s v="Office Supplies"/>
    <s v="Delivered"/>
    <n v="450"/>
    <n v="59.24"/>
    <n v="55.03"/>
    <n v="68"/>
    <x v="1"/>
  </r>
  <r>
    <s v="PO-00417"/>
    <s v="Gamma_Co"/>
    <x v="307"/>
    <x v="294"/>
    <s v="Electronics"/>
    <s v="Partially Delivered"/>
    <n v="689"/>
    <n v="102.53"/>
    <n v="95.23"/>
    <n v="38"/>
    <x v="0"/>
  </r>
  <r>
    <s v="PO-00418"/>
    <s v="Gamma_Co"/>
    <x v="170"/>
    <x v="207"/>
    <s v="MRO"/>
    <s v="Delivered"/>
    <n v="1106"/>
    <n v="44.05"/>
    <n v="38.6"/>
    <n v="51"/>
    <x v="0"/>
  </r>
  <r>
    <s v="PO-00419"/>
    <s v="Alpha_Inc"/>
    <x v="309"/>
    <x v="86"/>
    <s v="Office Supplies"/>
    <s v="Delivered"/>
    <n v="737"/>
    <n v="43.08"/>
    <n v="42.58"/>
    <n v="21"/>
    <x v="0"/>
  </r>
  <r>
    <s v="PO-00420"/>
    <s v="Alpha_Inc"/>
    <x v="310"/>
    <x v="54"/>
    <s v="Raw Materials"/>
    <s v="Delivered"/>
    <n v="509"/>
    <n v="76.760000000000005"/>
    <n v="74.72"/>
    <n v="7"/>
    <x v="1"/>
  </r>
  <r>
    <s v="PO-00421"/>
    <s v="Alpha_Inc"/>
    <x v="137"/>
    <x v="295"/>
    <s v="Electronics"/>
    <s v="Delivered"/>
    <n v="1004"/>
    <n v="50.7"/>
    <n v="46.59"/>
    <n v="27"/>
    <x v="0"/>
  </r>
  <r>
    <s v="PO-00422"/>
    <s v="Gamma_Co"/>
    <x v="311"/>
    <x v="296"/>
    <s v="MRO"/>
    <s v="Pending"/>
    <n v="1956"/>
    <n v="31.88"/>
    <n v="28.48"/>
    <n v="86"/>
    <x v="0"/>
  </r>
  <r>
    <s v="PO-00423"/>
    <s v="Delta_Logistics"/>
    <x v="312"/>
    <x v="13"/>
    <s v="Electronics"/>
    <s v="Delivered"/>
    <n v="519"/>
    <n v="51.73"/>
    <n v="47.52"/>
    <n v="81"/>
    <x v="1"/>
  </r>
  <r>
    <s v="PO-00424"/>
    <s v="Gamma_Co"/>
    <x v="313"/>
    <x v="134"/>
    <s v="MRO"/>
    <s v="Partially Delivered"/>
    <n v="1448"/>
    <n v="25.06"/>
    <n v="21.62"/>
    <n v="84"/>
    <x v="0"/>
  </r>
  <r>
    <s v="PO-00425"/>
    <s v="Gamma_Co"/>
    <x v="314"/>
    <x v="120"/>
    <s v="Packaging"/>
    <s v="Delivered"/>
    <n v="1095"/>
    <n v="26.91"/>
    <n v="23.75"/>
    <n v="53"/>
    <x v="0"/>
  </r>
  <r>
    <s v="PO-00426"/>
    <s v="Alpha_Inc"/>
    <x v="145"/>
    <x v="13"/>
    <s v="MRO"/>
    <s v="Delivered"/>
    <n v="799"/>
    <n v="56.22"/>
    <n v="49.51"/>
    <n v="18"/>
    <x v="0"/>
  </r>
  <r>
    <s v="PO-00427"/>
    <s v="Beta_Supplies"/>
    <x v="315"/>
    <x v="262"/>
    <s v="MRO"/>
    <s v="Partially Delivered"/>
    <n v="1743"/>
    <n v="51.04"/>
    <n v="47.15"/>
    <n v="160"/>
    <x v="0"/>
  </r>
  <r>
    <s v="PO-00428"/>
    <s v="Alpha_Inc"/>
    <x v="316"/>
    <x v="297"/>
    <s v="Raw Materials"/>
    <s v="Delivered"/>
    <n v="87"/>
    <n v="100.65"/>
    <n v="85.56"/>
    <n v="1"/>
    <x v="0"/>
  </r>
  <r>
    <s v="PO-00429"/>
    <s v="Beta_Supplies"/>
    <x v="317"/>
    <x v="13"/>
    <s v="Raw Materials"/>
    <s v="Delivered"/>
    <n v="279"/>
    <n v="47.52"/>
    <n v="46.5"/>
    <n v="28"/>
    <x v="1"/>
  </r>
  <r>
    <s v="PO-00430"/>
    <s v="Delta_Logistics"/>
    <x v="318"/>
    <x v="228"/>
    <s v="Raw Materials"/>
    <s v="Delivered"/>
    <n v="1438"/>
    <n v="66.61"/>
    <n v="58.5"/>
    <n v="237"/>
    <x v="0"/>
  </r>
  <r>
    <s v="PO-00431"/>
    <s v="Delta_Logistics"/>
    <x v="21"/>
    <x v="297"/>
    <s v="Office Supplies"/>
    <s v="Partially Delivered"/>
    <n v="612"/>
    <n v="72.930000000000007"/>
    <n v="63.32"/>
    <n v="99"/>
    <x v="0"/>
  </r>
  <r>
    <s v="PO-00432"/>
    <s v="Epsilon_Group"/>
    <x v="278"/>
    <x v="298"/>
    <s v="Packaging"/>
    <s v="Pending"/>
    <n v="487"/>
    <n v="11.18"/>
    <n v="10.63"/>
    <n v="15"/>
    <x v="0"/>
  </r>
  <r>
    <s v="PO-00433"/>
    <s v="Epsilon_Group"/>
    <x v="1"/>
    <x v="7"/>
    <s v="Packaging"/>
    <s v="Partially Delivered"/>
    <n v="1849"/>
    <n v="70.760000000000005"/>
    <n v="69.25"/>
    <n v="51"/>
    <x v="0"/>
  </r>
  <r>
    <s v="PO-00434"/>
    <s v="Epsilon_Group"/>
    <x v="225"/>
    <x v="299"/>
    <s v="MRO"/>
    <s v="Partially Delivered"/>
    <n v="1356"/>
    <n v="26.28"/>
    <n v="25.44"/>
    <n v="47"/>
    <x v="0"/>
  </r>
  <r>
    <s v="PO-00435"/>
    <s v="Delta_Logistics"/>
    <x v="319"/>
    <x v="300"/>
    <s v="Raw Materials"/>
    <s v="Delivered"/>
    <n v="76"/>
    <n v="107.59"/>
    <n v="96.33"/>
    <n v="10"/>
    <x v="0"/>
  </r>
  <r>
    <s v="PO-00436"/>
    <s v="Alpha_Inc"/>
    <x v="320"/>
    <x v="301"/>
    <s v="Packaging"/>
    <s v="Partially Delivered"/>
    <n v="275"/>
    <n v="23.96"/>
    <n v="20.440000000000001"/>
    <m/>
    <x v="0"/>
  </r>
  <r>
    <s v="PO-00437"/>
    <s v="Alpha_Inc"/>
    <x v="9"/>
    <x v="140"/>
    <s v="Packaging"/>
    <s v="Delivered"/>
    <n v="1350"/>
    <n v="51.57"/>
    <n v="48.07"/>
    <m/>
    <x v="0"/>
  </r>
  <r>
    <s v="PO-00438"/>
    <s v="Alpha_Inc"/>
    <x v="321"/>
    <x v="13"/>
    <s v="MRO"/>
    <s v="Delivered"/>
    <n v="847"/>
    <n v="17.77"/>
    <n v="17.39"/>
    <m/>
    <x v="0"/>
  </r>
  <r>
    <s v="PO-00439"/>
    <s v="Gamma_Co"/>
    <x v="286"/>
    <x v="138"/>
    <s v="MRO"/>
    <s v="Delivered"/>
    <n v="1682"/>
    <n v="105.7"/>
    <n v="101.3"/>
    <n v="94"/>
    <x v="0"/>
  </r>
  <r>
    <s v="PO-00440"/>
    <s v="Epsilon_Group"/>
    <x v="322"/>
    <x v="302"/>
    <s v="Electronics"/>
    <s v="Delivered"/>
    <n v="333"/>
    <n v="60.44"/>
    <n v="58.54"/>
    <n v="8"/>
    <x v="0"/>
  </r>
  <r>
    <s v="PO-00441"/>
    <s v="Alpha_Inc"/>
    <x v="50"/>
    <x v="303"/>
    <s v="Electronics"/>
    <s v="Cancelled"/>
    <n v="928"/>
    <n v="69.31"/>
    <n v="67.260000000000005"/>
    <n v="20"/>
    <x v="0"/>
  </r>
  <r>
    <s v="PO-00442"/>
    <s v="Epsilon_Group"/>
    <x v="323"/>
    <x v="304"/>
    <s v="MRO"/>
    <s v="Partially Delivered"/>
    <n v="1009"/>
    <n v="16.440000000000001"/>
    <n v="16.18"/>
    <m/>
    <x v="0"/>
  </r>
  <r>
    <s v="PO-00443"/>
    <s v="Epsilon_Group"/>
    <x v="324"/>
    <x v="305"/>
    <s v="Electronics"/>
    <s v="Pending"/>
    <n v="1554"/>
    <n v="82.92"/>
    <n v="74.819999999999993"/>
    <n v="44"/>
    <x v="0"/>
  </r>
  <r>
    <s v="PO-00444"/>
    <s v="Gamma_Co"/>
    <x v="325"/>
    <x v="188"/>
    <s v="Packaging"/>
    <s v="Partially Delivered"/>
    <n v="502"/>
    <n v="29.47"/>
    <n v="28.94"/>
    <n v="27"/>
    <x v="0"/>
  </r>
  <r>
    <s v="PO-00445"/>
    <s v="Delta_Logistics"/>
    <x v="326"/>
    <x v="183"/>
    <s v="MRO"/>
    <s v="Delivered"/>
    <n v="1069"/>
    <n v="91.28"/>
    <n v="82.64"/>
    <m/>
    <x v="0"/>
  </r>
  <r>
    <s v="PO-00446"/>
    <s v="Alpha_Inc"/>
    <x v="327"/>
    <x v="275"/>
    <s v="MRO"/>
    <s v="Pending"/>
    <n v="1902"/>
    <n v="29.89"/>
    <n v="25.83"/>
    <n v="41"/>
    <x v="0"/>
  </r>
  <r>
    <s v="PO-00447"/>
    <s v="Gamma_Co"/>
    <x v="67"/>
    <x v="13"/>
    <s v="Raw Materials"/>
    <s v="Pending"/>
    <n v="865"/>
    <n v="28.79"/>
    <n v="25.69"/>
    <n v="47"/>
    <x v="0"/>
  </r>
  <r>
    <s v="PO-00448"/>
    <s v="Delta_Logistics"/>
    <x v="264"/>
    <x v="306"/>
    <s v="Packaging"/>
    <s v="Partially Delivered"/>
    <n v="708"/>
    <n v="13.36"/>
    <n v="11.61"/>
    <m/>
    <x v="1"/>
  </r>
  <r>
    <s v="PO-00449"/>
    <s v="Delta_Logistics"/>
    <x v="328"/>
    <x v="307"/>
    <s v="Packaging"/>
    <s v="Delivered"/>
    <n v="1589"/>
    <n v="55.64"/>
    <n v="48.52"/>
    <m/>
    <x v="0"/>
  </r>
  <r>
    <s v="PO-00450"/>
    <s v="Alpha_Inc"/>
    <x v="303"/>
    <x v="308"/>
    <s v="Office Supplies"/>
    <s v="Delivered"/>
    <n v="596"/>
    <n v="62.96"/>
    <n v="61.88"/>
    <n v="9"/>
    <x v="0"/>
  </r>
  <r>
    <s v="PO-00451"/>
    <s v="Epsilon_Group"/>
    <x v="133"/>
    <x v="309"/>
    <s v="Office Supplies"/>
    <s v="Delivered"/>
    <n v="1265"/>
    <n v="17.66"/>
    <n v="16.97"/>
    <n v="34"/>
    <x v="0"/>
  </r>
  <r>
    <s v="PO-00452"/>
    <s v="Beta_Supplies"/>
    <x v="224"/>
    <x v="258"/>
    <s v="Raw Materials"/>
    <s v="Delivered"/>
    <n v="1122"/>
    <n v="82.99"/>
    <n v="81.7"/>
    <n v="118"/>
    <x v="1"/>
  </r>
  <r>
    <s v="PO-00453"/>
    <s v="Epsilon_Group"/>
    <x v="329"/>
    <x v="111"/>
    <s v="Office Supplies"/>
    <s v="Delivered"/>
    <n v="1585"/>
    <n v="56.38"/>
    <n v="53.05"/>
    <m/>
    <x v="0"/>
  </r>
  <r>
    <s v="PO-00454"/>
    <s v="Epsilon_Group"/>
    <x v="330"/>
    <x v="36"/>
    <s v="Electronics"/>
    <s v="Delivered"/>
    <n v="66"/>
    <n v="58.05"/>
    <n v="50.76"/>
    <m/>
    <x v="0"/>
  </r>
  <r>
    <s v="PO-00455"/>
    <s v="Beta_Supplies"/>
    <x v="209"/>
    <x v="310"/>
    <s v="MRO"/>
    <s v="Delivered"/>
    <n v="1245"/>
    <n v="52.4"/>
    <n v="51.65"/>
    <n v="118"/>
    <x v="1"/>
  </r>
  <r>
    <s v="PO-00456"/>
    <s v="Delta_Logistics"/>
    <x v="331"/>
    <x v="311"/>
    <s v="Electronics"/>
    <s v="Delivered"/>
    <n v="1293"/>
    <n v="50.21"/>
    <n v="47.55"/>
    <m/>
    <x v="1"/>
  </r>
  <r>
    <s v="PO-00457"/>
    <s v="Beta_Supplies"/>
    <x v="204"/>
    <x v="222"/>
    <s v="Packaging"/>
    <s v="Delivered"/>
    <n v="207"/>
    <n v="64.290000000000006"/>
    <n v="63.01"/>
    <n v="25"/>
    <x v="0"/>
  </r>
  <r>
    <s v="PO-00458"/>
    <s v="Beta_Supplies"/>
    <x v="332"/>
    <x v="182"/>
    <s v="Office Supplies"/>
    <s v="Delivered"/>
    <n v="526"/>
    <n v="26.37"/>
    <n v="25.32"/>
    <n v="47"/>
    <x v="0"/>
  </r>
  <r>
    <s v="PO-00459"/>
    <s v="Gamma_Co"/>
    <x v="244"/>
    <x v="110"/>
    <s v="Electronics"/>
    <s v="Delivered"/>
    <n v="1119"/>
    <n v="27.03"/>
    <n v="23.82"/>
    <m/>
    <x v="0"/>
  </r>
  <r>
    <s v="PO-00460"/>
    <s v="Gamma_Co"/>
    <x v="232"/>
    <x v="312"/>
    <s v="Packaging"/>
    <s v="Delivered"/>
    <n v="1446"/>
    <n v="90.63"/>
    <n v="84.51"/>
    <n v="77"/>
    <x v="0"/>
  </r>
  <r>
    <s v="PO-00461"/>
    <s v="Gamma_Co"/>
    <x v="68"/>
    <x v="125"/>
    <s v="Office Supplies"/>
    <s v="Delivered"/>
    <n v="567"/>
    <n v="97.53"/>
    <n v="85.29"/>
    <n v="21"/>
    <x v="0"/>
  </r>
  <r>
    <s v="PO-00462"/>
    <s v="Delta_Logistics"/>
    <x v="333"/>
    <x v="13"/>
    <s v="MRO"/>
    <s v="Delivered"/>
    <n v="148"/>
    <n v="44.91"/>
    <n v="40.1"/>
    <m/>
    <x v="1"/>
  </r>
  <r>
    <s v="PO-00463"/>
    <s v="Beta_Supplies"/>
    <x v="334"/>
    <x v="313"/>
    <s v="MRO"/>
    <s v="Pending"/>
    <n v="1965"/>
    <n v="36.6"/>
    <n v="34.64"/>
    <n v="195"/>
    <x v="0"/>
  </r>
  <r>
    <s v="PO-00464"/>
    <s v="Alpha_Inc"/>
    <x v="2"/>
    <x v="314"/>
    <s v="Office Supplies"/>
    <s v="Pending"/>
    <n v="1818"/>
    <n v="67.959999999999994"/>
    <n v="58.98"/>
    <m/>
    <x v="0"/>
  </r>
  <r>
    <s v="PO-00465"/>
    <s v="Beta_Supplies"/>
    <x v="335"/>
    <x v="315"/>
    <s v="MRO"/>
    <s v="Delivered"/>
    <n v="1110"/>
    <n v="48.19"/>
    <n v="45.88"/>
    <n v="112"/>
    <x v="0"/>
  </r>
  <r>
    <s v="PO-00466"/>
    <s v="Delta_Logistics"/>
    <x v="336"/>
    <x v="13"/>
    <s v="Raw Materials"/>
    <s v="Delivered"/>
    <n v="329"/>
    <n v="12.96"/>
    <n v="12.74"/>
    <n v="48"/>
    <x v="0"/>
  </r>
  <r>
    <s v="PO-00467"/>
    <s v="Gamma_Co"/>
    <x v="337"/>
    <x v="32"/>
    <s v="Office Supplies"/>
    <s v="Cancelled"/>
    <n v="1422"/>
    <n v="25.62"/>
    <n v="25.18"/>
    <n v="65"/>
    <x v="0"/>
  </r>
  <r>
    <s v="PO-00468"/>
    <s v="Delta_Logistics"/>
    <x v="197"/>
    <x v="13"/>
    <s v="Raw Materials"/>
    <s v="Delivered"/>
    <n v="546"/>
    <n v="82.63"/>
    <n v="74.77"/>
    <n v="76"/>
    <x v="1"/>
  </r>
  <r>
    <s v="PO-00469"/>
    <s v="Gamma_Co"/>
    <x v="221"/>
    <x v="116"/>
    <s v="Office Supplies"/>
    <s v="Partially Delivered"/>
    <n v="351"/>
    <n v="72.08"/>
    <n v="71.3"/>
    <n v="20"/>
    <x v="0"/>
  </r>
  <r>
    <s v="PO-00470"/>
    <s v="Delta_Logistics"/>
    <x v="73"/>
    <x v="316"/>
    <s v="Raw Materials"/>
    <s v="Partially Delivered"/>
    <n v="230"/>
    <n v="13"/>
    <n v="12.81"/>
    <m/>
    <x v="1"/>
  </r>
  <r>
    <s v="PO-00471"/>
    <s v="Alpha_Inc"/>
    <x v="31"/>
    <x v="233"/>
    <s v="MRO"/>
    <s v="Delivered"/>
    <n v="656"/>
    <n v="30.73"/>
    <n v="26.26"/>
    <n v="17"/>
    <x v="0"/>
  </r>
  <r>
    <s v="PO-00472"/>
    <s v="Gamma_Co"/>
    <x v="24"/>
    <x v="317"/>
    <s v="MRO"/>
    <s v="Delivered"/>
    <n v="1172"/>
    <n v="34.340000000000003"/>
    <n v="32.090000000000003"/>
    <n v="69"/>
    <x v="0"/>
  </r>
  <r>
    <s v="PO-00473"/>
    <s v="Gamma_Co"/>
    <x v="338"/>
    <x v="122"/>
    <s v="Electronics"/>
    <s v="Delivered"/>
    <n v="749"/>
    <n v="71.53"/>
    <n v="70.02"/>
    <n v="41"/>
    <x v="0"/>
  </r>
  <r>
    <s v="PO-00474"/>
    <s v="Beta_Supplies"/>
    <x v="339"/>
    <x v="318"/>
    <s v="Packaging"/>
    <s v="Delivered"/>
    <n v="1042"/>
    <n v="12.48"/>
    <n v="12.3"/>
    <n v="88"/>
    <x v="0"/>
  </r>
  <r>
    <s v="PO-00475"/>
    <s v="Delta_Logistics"/>
    <x v="340"/>
    <x v="319"/>
    <s v="Raw Materials"/>
    <s v="Delivered"/>
    <n v="1189"/>
    <n v="19.47"/>
    <n v="17.149999999999999"/>
    <m/>
    <x v="1"/>
  </r>
  <r>
    <s v="PO-00476"/>
    <s v="Epsilon_Group"/>
    <x v="341"/>
    <x v="13"/>
    <s v="Office Supplies"/>
    <s v="Delivered"/>
    <n v="240"/>
    <n v="88.14"/>
    <n v="81.900000000000006"/>
    <n v="4"/>
    <x v="0"/>
  </r>
  <r>
    <s v="PO-00477"/>
    <s v="Epsilon_Group"/>
    <x v="342"/>
    <x v="312"/>
    <s v="MRO"/>
    <s v="Delivered"/>
    <n v="302"/>
    <n v="26.98"/>
    <n v="26.47"/>
    <n v="9"/>
    <x v="0"/>
  </r>
  <r>
    <s v="PO-00478"/>
    <s v="Beta_Supplies"/>
    <x v="343"/>
    <x v="234"/>
    <s v="MRO"/>
    <s v="Pending"/>
    <n v="1030"/>
    <n v="70.81"/>
    <n v="61.58"/>
    <m/>
    <x v="1"/>
  </r>
  <r>
    <s v="PO-00479"/>
    <s v="Delta_Logistics"/>
    <x v="344"/>
    <x v="320"/>
    <s v="Office Supplies"/>
    <s v="Delivered"/>
    <n v="977"/>
    <n v="33.79"/>
    <n v="32.25"/>
    <n v="137"/>
    <x v="0"/>
  </r>
  <r>
    <s v="PO-00480"/>
    <s v="Alpha_Inc"/>
    <x v="345"/>
    <x v="321"/>
    <s v="Packaging"/>
    <s v="Delivered"/>
    <n v="1234"/>
    <n v="19.989999999999998"/>
    <n v="17.66"/>
    <n v="25"/>
    <x v="0"/>
  </r>
  <r>
    <s v="PO-00481"/>
    <s v="Beta_Supplies"/>
    <x v="346"/>
    <x v="322"/>
    <s v="Office Supplies"/>
    <s v="Delivered"/>
    <n v="1329"/>
    <n v="33.479999999999997"/>
    <n v="33.06"/>
    <n v="146"/>
    <x v="0"/>
  </r>
  <r>
    <s v="PO-00482"/>
    <s v="Gamma_Co"/>
    <x v="61"/>
    <x v="323"/>
    <s v="Raw Materials"/>
    <s v="Delivered"/>
    <n v="1396"/>
    <n v="77.63"/>
    <n v="67.81"/>
    <n v="58"/>
    <x v="0"/>
  </r>
  <r>
    <s v="PO-00483"/>
    <s v="Alpha_Inc"/>
    <x v="5"/>
    <x v="5"/>
    <s v="Raw Materials"/>
    <s v="Delivered"/>
    <n v="177"/>
    <n v="90.06"/>
    <n v="87.71"/>
    <n v="7"/>
    <x v="0"/>
  </r>
  <r>
    <s v="PO-00484"/>
    <s v="Delta_Logistics"/>
    <x v="347"/>
    <x v="13"/>
    <s v="Electronics"/>
    <s v="Delivered"/>
    <n v="67"/>
    <n v="84.72"/>
    <n v="73.06"/>
    <n v="9"/>
    <x v="0"/>
  </r>
  <r>
    <s v="PO-00485"/>
    <s v="Gamma_Co"/>
    <x v="164"/>
    <x v="277"/>
    <s v="Office Supplies"/>
    <s v="Delivered"/>
    <n v="1866"/>
    <n v="50.78"/>
    <n v="48.2"/>
    <n v="96"/>
    <x v="0"/>
  </r>
  <r>
    <s v="PO-00486"/>
    <s v="Epsilon_Group"/>
    <x v="348"/>
    <x v="324"/>
    <s v="MRO"/>
    <s v="Delivered"/>
    <n v="1808"/>
    <n v="72.23"/>
    <n v="67.86"/>
    <n v="53"/>
    <x v="0"/>
  </r>
  <r>
    <s v="PO-00487"/>
    <s v="Delta_Logistics"/>
    <x v="113"/>
    <x v="325"/>
    <s v="Electronics"/>
    <s v="Cancelled"/>
    <n v="615"/>
    <n v="30.3"/>
    <n v="29.52"/>
    <n v="96"/>
    <x v="0"/>
  </r>
  <r>
    <s v="PO-00488"/>
    <s v="Gamma_Co"/>
    <x v="349"/>
    <x v="326"/>
    <s v="Office Supplies"/>
    <s v="Pending"/>
    <n v="619"/>
    <n v="38.380000000000003"/>
    <n v="35.020000000000003"/>
    <n v="34"/>
    <x v="0"/>
  </r>
  <r>
    <s v="PO-00489"/>
    <s v="Delta_Logistics"/>
    <x v="196"/>
    <x v="327"/>
    <s v="Office Supplies"/>
    <s v="Delivered"/>
    <n v="1396"/>
    <n v="94.75"/>
    <n v="84.06"/>
    <n v="210"/>
    <x v="0"/>
  </r>
  <r>
    <s v="PO-00490"/>
    <s v="Gamma_Co"/>
    <x v="58"/>
    <x v="328"/>
    <s v="MRO"/>
    <s v="Delivered"/>
    <n v="1945"/>
    <n v="11.28"/>
    <n v="9.98"/>
    <n v="94"/>
    <x v="0"/>
  </r>
  <r>
    <s v="PO-00491"/>
    <s v="Delta_Logistics"/>
    <x v="196"/>
    <x v="316"/>
    <s v="Packaging"/>
    <s v="Delivered"/>
    <n v="735"/>
    <n v="18.489999999999998"/>
    <n v="15.89"/>
    <n v="113"/>
    <x v="1"/>
  </r>
  <r>
    <s v="PO-00492"/>
    <s v="Epsilon_Group"/>
    <x v="350"/>
    <x v="321"/>
    <s v="Office Supplies"/>
    <s v="Pending"/>
    <n v="1865"/>
    <n v="30.29"/>
    <n v="26.83"/>
    <n v="56"/>
    <x v="0"/>
  </r>
  <r>
    <s v="PO-00493"/>
    <s v="Beta_Supplies"/>
    <x v="134"/>
    <x v="329"/>
    <s v="Electronics"/>
    <s v="Cancelled"/>
    <n v="675"/>
    <n v="13.69"/>
    <n v="11.84"/>
    <n v="52"/>
    <x v="0"/>
  </r>
  <r>
    <s v="PO-00494"/>
    <s v="Gamma_Co"/>
    <x v="115"/>
    <x v="104"/>
    <s v="MRO"/>
    <s v="Pending"/>
    <n v="1361"/>
    <n v="28.57"/>
    <n v="24.29"/>
    <n v="65"/>
    <x v="0"/>
  </r>
  <r>
    <s v="PO-00495"/>
    <s v="Gamma_Co"/>
    <x v="351"/>
    <x v="330"/>
    <s v="Raw Materials"/>
    <s v="Delivered"/>
    <n v="903"/>
    <n v="66.53"/>
    <n v="60.15"/>
    <n v="29"/>
    <x v="0"/>
  </r>
  <r>
    <s v="PO-00496"/>
    <s v="Epsilon_Group"/>
    <x v="352"/>
    <x v="13"/>
    <s v="Packaging"/>
    <s v="Cancelled"/>
    <n v="1736"/>
    <n v="53.2"/>
    <n v="50.68"/>
    <n v="48"/>
    <x v="0"/>
  </r>
  <r>
    <s v="PO-00497"/>
    <s v="Beta_Supplies"/>
    <x v="46"/>
    <x v="331"/>
    <s v="MRO"/>
    <s v="Delivered"/>
    <n v="1011"/>
    <n v="98.47"/>
    <n v="97.06"/>
    <n v="91"/>
    <x v="0"/>
  </r>
  <r>
    <s v="PO-00498"/>
    <s v="Delta_Logistics"/>
    <x v="353"/>
    <x v="332"/>
    <s v="Electronics"/>
    <s v="Delivered"/>
    <n v="1712"/>
    <n v="88.17"/>
    <n v="85.86"/>
    <n v="246"/>
    <x v="0"/>
  </r>
  <r>
    <s v="PO-00499"/>
    <s v="Gamma_Co"/>
    <x v="354"/>
    <x v="13"/>
    <s v="Office Supplies"/>
    <s v="Delivered"/>
    <n v="204"/>
    <n v="40.76"/>
    <n v="37.46"/>
    <n v="10"/>
    <x v="0"/>
  </r>
  <r>
    <s v="PO-00500"/>
    <s v="Beta_Supplies"/>
    <x v="298"/>
    <x v="333"/>
    <s v="Electronics"/>
    <s v="Partially Delivered"/>
    <n v="539"/>
    <n v="33.85"/>
    <n v="30.57"/>
    <n v="34"/>
    <x v="1"/>
  </r>
  <r>
    <s v="PO-00501"/>
    <s v="Delta_Logistics"/>
    <x v="270"/>
    <x v="128"/>
    <s v="Office Supplies"/>
    <s v="Delivered"/>
    <n v="1459"/>
    <n v="45.94"/>
    <n v="42.56"/>
    <n v="212"/>
    <x v="1"/>
  </r>
  <r>
    <s v="PO-00502"/>
    <s v="Gamma_Co"/>
    <x v="139"/>
    <x v="75"/>
    <s v="MRO"/>
    <s v="Delivered"/>
    <n v="834"/>
    <n v="65.02"/>
    <n v="56.19"/>
    <m/>
    <x v="0"/>
  </r>
  <r>
    <s v="PO-00503"/>
    <s v="Gamma_Co"/>
    <x v="355"/>
    <x v="334"/>
    <s v="Packaging"/>
    <s v="Partially Delivered"/>
    <n v="1177"/>
    <n v="37.369999999999997"/>
    <n v="34.270000000000003"/>
    <n v="60"/>
    <x v="0"/>
  </r>
  <r>
    <s v="PO-00504"/>
    <s v="Delta_Logistics"/>
    <x v="106"/>
    <x v="335"/>
    <s v="MRO"/>
    <s v="Delivered"/>
    <n v="1466"/>
    <n v="68.819999999999993"/>
    <n v="66.819999999999993"/>
    <n v="211"/>
    <x v="0"/>
  </r>
  <r>
    <s v="PO-00505"/>
    <s v="Epsilon_Group"/>
    <x v="340"/>
    <x v="183"/>
    <s v="Electronics"/>
    <s v="Delivered"/>
    <n v="1884"/>
    <n v="47.08"/>
    <n v="44.31"/>
    <n v="54"/>
    <x v="0"/>
  </r>
  <r>
    <s v="PO-00506"/>
    <s v="Beta_Supplies"/>
    <x v="220"/>
    <x v="336"/>
    <s v="Electronics"/>
    <s v="Delivered"/>
    <n v="295"/>
    <n v="60.58"/>
    <n v="57.32"/>
    <n v="31"/>
    <x v="0"/>
  </r>
  <r>
    <s v="PO-00507"/>
    <s v="Gamma_Co"/>
    <x v="123"/>
    <x v="236"/>
    <s v="Raw Materials"/>
    <s v="Delivered"/>
    <n v="1249"/>
    <n v="54.18"/>
    <n v="47.29"/>
    <n v="59"/>
    <x v="0"/>
  </r>
  <r>
    <s v="PO-00508"/>
    <s v="Delta_Logistics"/>
    <x v="356"/>
    <x v="124"/>
    <s v="Raw Materials"/>
    <s v="Delivered"/>
    <n v="1112"/>
    <n v="39.06"/>
    <n v="33.6"/>
    <n v="184"/>
    <x v="1"/>
  </r>
  <r>
    <s v="PO-00509"/>
    <s v="Gamma_Co"/>
    <x v="357"/>
    <x v="337"/>
    <s v="Office Supplies"/>
    <s v="Delivered"/>
    <n v="1550"/>
    <n v="100.61"/>
    <n v="97.43"/>
    <n v="66"/>
    <x v="0"/>
  </r>
  <r>
    <s v="PO-00510"/>
    <s v="Delta_Logistics"/>
    <x v="249"/>
    <x v="338"/>
    <s v="Electronics"/>
    <s v="Delivered"/>
    <n v="1755"/>
    <n v="82.66"/>
    <n v="73.67"/>
    <n v="258"/>
    <x v="1"/>
  </r>
  <r>
    <s v="PO-00511"/>
    <s v="Gamma_Co"/>
    <x v="358"/>
    <x v="339"/>
    <s v="Raw Materials"/>
    <s v="Delivered"/>
    <n v="808"/>
    <n v="24.19"/>
    <n v="21.64"/>
    <n v="39"/>
    <x v="0"/>
  </r>
  <r>
    <s v="PO-00512"/>
    <s v="Alpha_Inc"/>
    <x v="359"/>
    <x v="115"/>
    <s v="Raw Materials"/>
    <s v="Partially Delivered"/>
    <n v="587"/>
    <n v="96.98"/>
    <n v="95.35"/>
    <n v="14"/>
    <x v="0"/>
  </r>
  <r>
    <s v="PO-00513"/>
    <s v="Epsilon_Group"/>
    <x v="360"/>
    <x v="92"/>
    <s v="MRO"/>
    <s v="Delivered"/>
    <n v="1940"/>
    <n v="58.45"/>
    <n v="50.29"/>
    <n v="54"/>
    <x v="0"/>
  </r>
  <r>
    <s v="PO-00514"/>
    <s v="Beta_Supplies"/>
    <x v="298"/>
    <x v="340"/>
    <s v="Office Supplies"/>
    <s v="Cancelled"/>
    <n v="1891"/>
    <n v="91.87"/>
    <n v="80.28"/>
    <n v="158"/>
    <x v="0"/>
  </r>
  <r>
    <s v="PO-00515"/>
    <s v="Epsilon_Group"/>
    <x v="125"/>
    <x v="325"/>
    <s v="Packaging"/>
    <s v="Delivered"/>
    <n v="970"/>
    <n v="86.91"/>
    <n v="78.44"/>
    <n v="18"/>
    <x v="0"/>
  </r>
  <r>
    <s v="PO-00516"/>
    <s v="Epsilon_Group"/>
    <x v="201"/>
    <x v="341"/>
    <s v="MRO"/>
    <s v="Delivered"/>
    <n v="457"/>
    <n v="52.85"/>
    <n v="50.34"/>
    <n v="16"/>
    <x v="0"/>
  </r>
  <r>
    <s v="PO-00517"/>
    <s v="Beta_Supplies"/>
    <x v="205"/>
    <x v="342"/>
    <s v="Office Supplies"/>
    <s v="Cancelled"/>
    <n v="574"/>
    <n v="12.38"/>
    <n v="11.47"/>
    <m/>
    <x v="1"/>
  </r>
  <r>
    <s v="PO-00518"/>
    <s v="Epsilon_Group"/>
    <x v="361"/>
    <x v="4"/>
    <s v="Office Supplies"/>
    <s v="Delivered"/>
    <n v="877"/>
    <n v="35.549999999999997"/>
    <n v="34.69"/>
    <n v="24"/>
    <x v="0"/>
  </r>
  <r>
    <s v="PO-00519"/>
    <s v="Alpha_Inc"/>
    <x v="310"/>
    <x v="319"/>
    <s v="MRO"/>
    <s v="Delivered"/>
    <n v="1579"/>
    <n v="59.04"/>
    <n v="50.95"/>
    <n v="29"/>
    <x v="0"/>
  </r>
  <r>
    <s v="PO-00520"/>
    <s v="Delta_Logistics"/>
    <x v="362"/>
    <x v="343"/>
    <s v="Raw Materials"/>
    <s v="Delivered"/>
    <n v="952"/>
    <n v="74.72"/>
    <n v="69.73"/>
    <m/>
    <x v="0"/>
  </r>
  <r>
    <s v="PO-00521"/>
    <s v="Beta_Supplies"/>
    <x v="358"/>
    <x v="12"/>
    <s v="Raw Materials"/>
    <s v="Pending"/>
    <n v="1898"/>
    <n v="35.53"/>
    <n v="33.25"/>
    <n v="187"/>
    <x v="0"/>
  </r>
  <r>
    <s v="PO-00522"/>
    <s v="Delta_Logistics"/>
    <x v="363"/>
    <x v="295"/>
    <s v="Packaging"/>
    <s v="Delivered"/>
    <n v="85"/>
    <n v="22.54"/>
    <n v="20.68"/>
    <n v="6"/>
    <x v="0"/>
  </r>
  <r>
    <s v="PO-00523"/>
    <s v="Gamma_Co"/>
    <x v="364"/>
    <x v="344"/>
    <s v="Packaging"/>
    <s v="Pending"/>
    <n v="734"/>
    <n v="92.38"/>
    <n v="78.92"/>
    <n v="34"/>
    <x v="1"/>
  </r>
  <r>
    <s v="PO-00524"/>
    <s v="Alpha_Inc"/>
    <x v="108"/>
    <x v="140"/>
    <s v="Office Supplies"/>
    <s v="Delivered"/>
    <n v="69"/>
    <n v="107.47"/>
    <n v="105.53"/>
    <m/>
    <x v="0"/>
  </r>
  <r>
    <s v="PO-00525"/>
    <s v="Delta_Logistics"/>
    <x v="306"/>
    <x v="345"/>
    <s v="Packaging"/>
    <s v="Delivered"/>
    <n v="370"/>
    <n v="63.9"/>
    <n v="55.79"/>
    <n v="59"/>
    <x v="0"/>
  </r>
  <r>
    <s v="PO-00526"/>
    <s v="Delta_Logistics"/>
    <x v="72"/>
    <x v="260"/>
    <s v="MRO"/>
    <s v="Delivered"/>
    <n v="1849"/>
    <n v="28.25"/>
    <n v="27.53"/>
    <n v="271"/>
    <x v="0"/>
  </r>
  <r>
    <s v="PO-00527"/>
    <s v="Beta_Supplies"/>
    <x v="365"/>
    <x v="13"/>
    <s v="Packaging"/>
    <s v="Delivered"/>
    <n v="561"/>
    <n v="35.54"/>
    <n v="30.99"/>
    <n v="68"/>
    <x v="1"/>
  </r>
  <r>
    <s v="PO-00528"/>
    <s v="Gamma_Co"/>
    <x v="366"/>
    <x v="196"/>
    <s v="Electronics"/>
    <s v="Delivered"/>
    <n v="449"/>
    <n v="12.35"/>
    <n v="10.67"/>
    <n v="29"/>
    <x v="0"/>
  </r>
  <r>
    <s v="PO-00529"/>
    <s v="Beta_Supplies"/>
    <x v="208"/>
    <x v="346"/>
    <s v="Office Supplies"/>
    <s v="Delivered"/>
    <n v="703"/>
    <n v="98.75"/>
    <n v="86.78"/>
    <n v="59"/>
    <x v="0"/>
  </r>
  <r>
    <s v="PO-00530"/>
    <s v="Gamma_Co"/>
    <x v="58"/>
    <x v="45"/>
    <s v="Electronics"/>
    <s v="Delivered"/>
    <n v="1021"/>
    <n v="20.8"/>
    <n v="18.23"/>
    <n v="37"/>
    <x v="0"/>
  </r>
  <r>
    <s v="PO-00531"/>
    <s v="Beta_Supplies"/>
    <x v="367"/>
    <x v="347"/>
    <s v="Office Supplies"/>
    <s v="Delivered"/>
    <n v="1956"/>
    <n v="68.69"/>
    <n v="65.09"/>
    <m/>
    <x v="0"/>
  </r>
  <r>
    <s v="PO-00532"/>
    <s v="Delta_Logistics"/>
    <x v="193"/>
    <x v="348"/>
    <s v="Office Supplies"/>
    <s v="Partially Delivered"/>
    <n v="520"/>
    <n v="36.57"/>
    <n v="34.78"/>
    <n v="67"/>
    <x v="1"/>
  </r>
  <r>
    <s v="PO-00533"/>
    <s v="Delta_Logistics"/>
    <x v="368"/>
    <x v="349"/>
    <s v="MRO"/>
    <s v="Delivered"/>
    <n v="1216"/>
    <n v="66.16"/>
    <n v="63"/>
    <n v="179"/>
    <x v="1"/>
  </r>
  <r>
    <s v="PO-00534"/>
    <s v="Alpha_Inc"/>
    <x v="249"/>
    <x v="13"/>
    <s v="Raw Materials"/>
    <s v="Delivered"/>
    <n v="1165"/>
    <n v="72.06"/>
    <n v="63.93"/>
    <m/>
    <x v="0"/>
  </r>
  <r>
    <s v="PO-00535"/>
    <s v="Delta_Logistics"/>
    <x v="295"/>
    <x v="166"/>
    <s v="Packaging"/>
    <s v="Pending"/>
    <n v="1427"/>
    <n v="93.99"/>
    <n v="83.6"/>
    <n v="213"/>
    <x v="0"/>
  </r>
  <r>
    <s v="PO-00536"/>
    <s v="Epsilon_Group"/>
    <x v="47"/>
    <x v="350"/>
    <s v="Electronics"/>
    <s v="Delivered"/>
    <n v="883"/>
    <n v="29.15"/>
    <n v="25.75"/>
    <n v="14"/>
    <x v="0"/>
  </r>
  <r>
    <s v="PO-00537"/>
    <s v="Delta_Logistics"/>
    <x v="275"/>
    <x v="261"/>
    <s v="Packaging"/>
    <s v="Partially Delivered"/>
    <n v="1873"/>
    <n v="11.54"/>
    <n v="9.89"/>
    <n v="284"/>
    <x v="1"/>
  </r>
  <r>
    <s v="PO-00538"/>
    <s v="Epsilon_Group"/>
    <x v="140"/>
    <x v="351"/>
    <s v="Office Supplies"/>
    <s v="Delivered"/>
    <n v="776"/>
    <n v="24.22"/>
    <n v="22.53"/>
    <n v="27"/>
    <x v="0"/>
  </r>
  <r>
    <s v="PO-00539"/>
    <s v="Delta_Logistics"/>
    <x v="369"/>
    <x v="263"/>
    <s v="Electronics"/>
    <s v="Delivered"/>
    <n v="903"/>
    <n v="95.55"/>
    <n v="92.45"/>
    <n v="149"/>
    <x v="1"/>
  </r>
  <r>
    <s v="PO-00540"/>
    <s v="Epsilon_Group"/>
    <x v="329"/>
    <x v="156"/>
    <s v="Electronics"/>
    <s v="Delivered"/>
    <n v="100"/>
    <n v="98.4"/>
    <n v="85.76"/>
    <n v="3"/>
    <x v="0"/>
  </r>
  <r>
    <s v="PO-00541"/>
    <s v="Epsilon_Group"/>
    <x v="370"/>
    <x v="352"/>
    <s v="Office Supplies"/>
    <s v="Delivered"/>
    <n v="1738"/>
    <n v="67.91"/>
    <n v="61.15"/>
    <m/>
    <x v="0"/>
  </r>
  <r>
    <s v="PO-00542"/>
    <s v="Delta_Logistics"/>
    <x v="371"/>
    <x v="82"/>
    <s v="Packaging"/>
    <s v="Delivered"/>
    <n v="1771"/>
    <n v="67.569999999999993"/>
    <n v="61.48"/>
    <n v="280"/>
    <x v="1"/>
  </r>
  <r>
    <s v="PO-00543"/>
    <s v="Epsilon_Group"/>
    <x v="218"/>
    <x v="353"/>
    <s v="Electronics"/>
    <s v="Delivered"/>
    <n v="624"/>
    <n v="74.39"/>
    <n v="66.3"/>
    <n v="18"/>
    <x v="1"/>
  </r>
  <r>
    <s v="PO-00544"/>
    <s v="Alpha_Inc"/>
    <x v="241"/>
    <x v="354"/>
    <s v="Packaging"/>
    <s v="Partially Delivered"/>
    <n v="1263"/>
    <n v="28.75"/>
    <n v="27.1"/>
    <n v="26"/>
    <x v="0"/>
  </r>
  <r>
    <s v="PO-00545"/>
    <s v="Gamma_Co"/>
    <x v="372"/>
    <x v="355"/>
    <s v="Electronics"/>
    <s v="Cancelled"/>
    <n v="1198"/>
    <n v="96.45"/>
    <n v="90.09"/>
    <m/>
    <x v="0"/>
  </r>
  <r>
    <s v="PO-00546"/>
    <s v="Epsilon_Group"/>
    <x v="185"/>
    <x v="9"/>
    <s v="Raw Materials"/>
    <s v="Delivered"/>
    <n v="199"/>
    <n v="51.98"/>
    <n v="45.64"/>
    <m/>
    <x v="1"/>
  </r>
  <r>
    <s v="PO-00547"/>
    <s v="Epsilon_Group"/>
    <x v="325"/>
    <x v="170"/>
    <s v="MRO"/>
    <s v="Pending"/>
    <n v="363"/>
    <n v="45.37"/>
    <n v="38.729999999999997"/>
    <m/>
    <x v="0"/>
  </r>
  <r>
    <s v="PO-00548"/>
    <s v="Alpha_Inc"/>
    <x v="56"/>
    <x v="356"/>
    <s v="Office Supplies"/>
    <s v="Delivered"/>
    <n v="619"/>
    <n v="58.4"/>
    <n v="51.04"/>
    <m/>
    <x v="0"/>
  </r>
  <r>
    <s v="PO-00549"/>
    <s v="Alpha_Inc"/>
    <x v="373"/>
    <x v="197"/>
    <s v="MRO"/>
    <s v="Delivered"/>
    <n v="1415"/>
    <n v="15.22"/>
    <n v="13.56"/>
    <n v="30"/>
    <x v="0"/>
  </r>
  <r>
    <s v="PO-00550"/>
    <s v="Beta_Supplies"/>
    <x v="367"/>
    <x v="256"/>
    <s v="Packaging"/>
    <s v="Delivered"/>
    <n v="354"/>
    <n v="27.71"/>
    <n v="23.87"/>
    <n v="39"/>
    <x v="1"/>
  </r>
  <r>
    <s v="PO-00551"/>
    <s v="Gamma_Co"/>
    <x v="82"/>
    <x v="357"/>
    <s v="MRO"/>
    <s v="Delivered"/>
    <n v="1765"/>
    <n v="81.010000000000005"/>
    <n v="78.430000000000007"/>
    <n v="78"/>
    <x v="0"/>
  </r>
  <r>
    <s v="PO-00552"/>
    <s v="Beta_Supplies"/>
    <x v="374"/>
    <x v="79"/>
    <s v="MRO"/>
    <s v="Delivered"/>
    <n v="731"/>
    <n v="19.37"/>
    <n v="17.3"/>
    <n v="69"/>
    <x v="1"/>
  </r>
  <r>
    <s v="PO-00553"/>
    <s v="Epsilon_Group"/>
    <x v="375"/>
    <x v="358"/>
    <s v="MRO"/>
    <s v="Delivered"/>
    <n v="887"/>
    <n v="65.89"/>
    <n v="59.67"/>
    <n v="29"/>
    <x v="0"/>
  </r>
  <r>
    <s v="PO-00554"/>
    <s v="Alpha_Inc"/>
    <x v="376"/>
    <x v="359"/>
    <s v="MRO"/>
    <s v="Delivered"/>
    <n v="1856"/>
    <n v="35.29"/>
    <n v="32.409999999999997"/>
    <n v="26"/>
    <x v="0"/>
  </r>
  <r>
    <s v="PO-00555"/>
    <s v="Epsilon_Group"/>
    <x v="377"/>
    <x v="360"/>
    <s v="Office Supplies"/>
    <s v="Delivered"/>
    <n v="1127"/>
    <n v="49.32"/>
    <n v="46.49"/>
    <n v="30"/>
    <x v="0"/>
  </r>
  <r>
    <s v="PO-00556"/>
    <s v="Delta_Logistics"/>
    <x v="378"/>
    <x v="338"/>
    <s v="Raw Materials"/>
    <s v="Delivered"/>
    <n v="1052"/>
    <n v="37.78"/>
    <n v="32.6"/>
    <n v="162"/>
    <x v="0"/>
  </r>
  <r>
    <s v="PO-00557"/>
    <s v="Gamma_Co"/>
    <x v="379"/>
    <x v="218"/>
    <s v="Raw Materials"/>
    <s v="Delivered"/>
    <n v="493"/>
    <n v="44.74"/>
    <n v="41.44"/>
    <n v="24"/>
    <x v="1"/>
  </r>
  <r>
    <s v="PO-00558"/>
    <s v="Delta_Logistics"/>
    <x v="380"/>
    <x v="230"/>
    <s v="MRO"/>
    <s v="Partially Delivered"/>
    <n v="662"/>
    <n v="81.44"/>
    <n v="71.33"/>
    <n v="87"/>
    <x v="0"/>
  </r>
  <r>
    <s v="PO-00559"/>
    <s v="Alpha_Inc"/>
    <x v="148"/>
    <x v="361"/>
    <s v="Raw Materials"/>
    <s v="Delivered"/>
    <n v="1042"/>
    <n v="36.74"/>
    <n v="35.78"/>
    <n v="33"/>
    <x v="0"/>
  </r>
  <r>
    <s v="PO-00560"/>
    <s v="Alpha_Inc"/>
    <x v="381"/>
    <x v="13"/>
    <s v="Raw Materials"/>
    <s v="Delivered"/>
    <n v="313"/>
    <n v="64.03"/>
    <n v="57.74"/>
    <n v="1"/>
    <x v="0"/>
  </r>
  <r>
    <s v="PO-00561"/>
    <s v="Alpha_Inc"/>
    <x v="382"/>
    <x v="362"/>
    <s v="Office Supplies"/>
    <s v="Delivered"/>
    <n v="1126"/>
    <n v="55.22"/>
    <n v="50.38"/>
    <m/>
    <x v="0"/>
  </r>
  <r>
    <s v="PO-00562"/>
    <s v="Gamma_Co"/>
    <x v="303"/>
    <x v="363"/>
    <s v="MRO"/>
    <s v="Delivered"/>
    <n v="1645"/>
    <n v="72.17"/>
    <n v="64"/>
    <n v="79"/>
    <x v="0"/>
  </r>
  <r>
    <s v="PO-00563"/>
    <s v="Beta_Supplies"/>
    <x v="324"/>
    <x v="364"/>
    <s v="Packaging"/>
    <s v="Delivered"/>
    <n v="1053"/>
    <n v="100.92"/>
    <n v="92.35"/>
    <n v="104"/>
    <x v="0"/>
  </r>
  <r>
    <s v="PO-00564"/>
    <s v="Epsilon_Group"/>
    <x v="247"/>
    <x v="365"/>
    <s v="MRO"/>
    <s v="Delivered"/>
    <n v="1693"/>
    <n v="83.14"/>
    <n v="73.3"/>
    <n v="62"/>
    <x v="0"/>
  </r>
  <r>
    <s v="PO-00565"/>
    <s v="Epsilon_Group"/>
    <x v="169"/>
    <x v="366"/>
    <s v="Raw Materials"/>
    <s v="Pending"/>
    <n v="54"/>
    <n v="32.28"/>
    <n v="28.65"/>
    <n v="3"/>
    <x v="0"/>
  </r>
  <r>
    <s v="PO-00566"/>
    <s v="Epsilon_Group"/>
    <x v="383"/>
    <x v="121"/>
    <s v="Packaging"/>
    <s v="Delivered"/>
    <n v="1176"/>
    <n v="14.22"/>
    <n v="12.21"/>
    <n v="33"/>
    <x v="0"/>
  </r>
  <r>
    <s v="PO-00567"/>
    <s v="Epsilon_Group"/>
    <x v="384"/>
    <x v="367"/>
    <s v="Raw Materials"/>
    <s v="Delivered"/>
    <n v="1269"/>
    <n v="35.28"/>
    <n v="33.700000000000003"/>
    <n v="35"/>
    <x v="0"/>
  </r>
  <r>
    <s v="PO-00568"/>
    <s v="Epsilon_Group"/>
    <x v="385"/>
    <x v="226"/>
    <s v="Raw Materials"/>
    <s v="Delivered"/>
    <n v="823"/>
    <n v="68.319999999999993"/>
    <n v="64.459999999999994"/>
    <n v="19"/>
    <x v="0"/>
  </r>
  <r>
    <s v="PO-00569"/>
    <s v="Beta_Supplies"/>
    <x v="315"/>
    <x v="368"/>
    <s v="Electronics"/>
    <s v="Delivered"/>
    <n v="926"/>
    <n v="15.65"/>
    <n v="13.49"/>
    <n v="94"/>
    <x v="1"/>
  </r>
  <r>
    <s v="PO-00570"/>
    <s v="Delta_Logistics"/>
    <x v="315"/>
    <x v="124"/>
    <s v="Electronics"/>
    <s v="Cancelled"/>
    <n v="1041"/>
    <n v="58.5"/>
    <n v="52.54"/>
    <n v="170"/>
    <x v="1"/>
  </r>
  <r>
    <s v="PO-00571"/>
    <s v="Gamma_Co"/>
    <x v="257"/>
    <x v="111"/>
    <s v="Electronics"/>
    <s v="Pending"/>
    <n v="933"/>
    <n v="70.72"/>
    <n v="65.47"/>
    <n v="42"/>
    <x v="0"/>
  </r>
  <r>
    <s v="PO-00572"/>
    <s v="Delta_Logistics"/>
    <x v="235"/>
    <x v="13"/>
    <s v="Raw Materials"/>
    <s v="Delivered"/>
    <n v="1423"/>
    <n v="41.48"/>
    <n v="40.9"/>
    <n v="199"/>
    <x v="0"/>
  </r>
  <r>
    <s v="PO-00573"/>
    <s v="Delta_Logistics"/>
    <x v="360"/>
    <x v="369"/>
    <s v="MRO"/>
    <s v="Delivered"/>
    <n v="96"/>
    <n v="86.13"/>
    <n v="80.319999999999993"/>
    <n v="12"/>
    <x v="1"/>
  </r>
  <r>
    <s v="PO-00574"/>
    <s v="Epsilon_Group"/>
    <x v="202"/>
    <x v="370"/>
    <s v="MRO"/>
    <s v="Delivered"/>
    <n v="916"/>
    <n v="21.06"/>
    <n v="19.53"/>
    <n v="25"/>
    <x v="0"/>
  </r>
  <r>
    <s v="PO-00575"/>
    <s v="Epsilon_Group"/>
    <x v="386"/>
    <x v="13"/>
    <s v="Raw Materials"/>
    <s v="Delivered"/>
    <n v="872"/>
    <n v="17.18"/>
    <n v="16.63"/>
    <n v="20"/>
    <x v="0"/>
  </r>
  <r>
    <s v="PO-00576"/>
    <s v="Beta_Supplies"/>
    <x v="207"/>
    <x v="371"/>
    <s v="Electronics"/>
    <s v="Delivered"/>
    <n v="985"/>
    <n v="83.85"/>
    <n v="80.88"/>
    <m/>
    <x v="1"/>
  </r>
  <r>
    <s v="PO-00577"/>
    <s v="Gamma_Co"/>
    <x v="387"/>
    <x v="264"/>
    <s v="Raw Materials"/>
    <s v="Delivered"/>
    <n v="1893"/>
    <n v="55.14"/>
    <n v="50.1"/>
    <n v="98"/>
    <x v="0"/>
  </r>
  <r>
    <s v="PO-00578"/>
    <s v="Alpha_Inc"/>
    <x v="388"/>
    <x v="13"/>
    <s v="MRO"/>
    <s v="Delivered"/>
    <n v="705"/>
    <n v="75.19"/>
    <n v="69.55"/>
    <n v="19"/>
    <x v="0"/>
  </r>
  <r>
    <s v="PO-00579"/>
    <s v="Delta_Logistics"/>
    <x v="389"/>
    <x v="344"/>
    <s v="MRO"/>
    <s v="Delivered"/>
    <n v="318"/>
    <n v="53.31"/>
    <n v="51.78"/>
    <m/>
    <x v="1"/>
  </r>
  <r>
    <s v="PO-00580"/>
    <s v="Alpha_Inc"/>
    <x v="295"/>
    <x v="372"/>
    <s v="Office Supplies"/>
    <s v="Pending"/>
    <n v="419"/>
    <n v="35.72"/>
    <n v="32.74"/>
    <n v="7"/>
    <x v="0"/>
  </r>
  <r>
    <s v="PO-00581"/>
    <s v="Gamma_Co"/>
    <x v="390"/>
    <x v="373"/>
    <s v="MRO"/>
    <s v="Delivered"/>
    <n v="685"/>
    <n v="92.51"/>
    <n v="90.05"/>
    <n v="38"/>
    <x v="0"/>
  </r>
  <r>
    <s v="PO-00582"/>
    <s v="Delta_Logistics"/>
    <x v="265"/>
    <x v="349"/>
    <s v="Office Supplies"/>
    <s v="Partially Delivered"/>
    <n v="1179"/>
    <n v="90.14"/>
    <n v="82.63"/>
    <n v="194"/>
    <x v="0"/>
  </r>
  <r>
    <s v="PO-00583"/>
    <s v="Alpha_Inc"/>
    <x v="391"/>
    <x v="13"/>
    <s v="Raw Materials"/>
    <s v="Delivered"/>
    <n v="1743"/>
    <n v="76.510000000000005"/>
    <n v="65.88"/>
    <n v="40"/>
    <x v="0"/>
  </r>
  <r>
    <s v="PO-00584"/>
    <s v="Alpha_Inc"/>
    <x v="15"/>
    <x v="39"/>
    <s v="MRO"/>
    <s v="Delivered"/>
    <n v="1732"/>
    <n v="35.01"/>
    <n v="34.18"/>
    <n v="40"/>
    <x v="0"/>
  </r>
  <r>
    <s v="PO-00585"/>
    <s v="Beta_Supplies"/>
    <x v="258"/>
    <x v="81"/>
    <s v="Office Supplies"/>
    <s v="Delivered"/>
    <n v="706"/>
    <n v="65.33"/>
    <n v="62.06"/>
    <n v="60"/>
    <x v="1"/>
  </r>
  <r>
    <s v="PO-00586"/>
    <s v="Gamma_Co"/>
    <x v="392"/>
    <x v="374"/>
    <s v="MRO"/>
    <s v="Cancelled"/>
    <n v="169"/>
    <n v="47.16"/>
    <n v="43.4"/>
    <m/>
    <x v="0"/>
  </r>
  <r>
    <s v="PO-00587"/>
    <s v="Gamma_Co"/>
    <x v="393"/>
    <x v="164"/>
    <s v="Office Supplies"/>
    <s v="Pending"/>
    <n v="880"/>
    <n v="19.149999999999999"/>
    <n v="18.690000000000001"/>
    <m/>
    <x v="1"/>
  </r>
  <r>
    <s v="PO-00588"/>
    <s v="Gamma_Co"/>
    <x v="181"/>
    <x v="56"/>
    <s v="MRO"/>
    <s v="Delivered"/>
    <n v="1860"/>
    <n v="95.8"/>
    <n v="92.17"/>
    <n v="105"/>
    <x v="1"/>
  </r>
  <r>
    <s v="PO-00589"/>
    <s v="Delta_Logistics"/>
    <x v="22"/>
    <x v="375"/>
    <s v="MRO"/>
    <s v="Delivered"/>
    <n v="1677"/>
    <n v="22.98"/>
    <n v="21.71"/>
    <n v="246"/>
    <x v="0"/>
  </r>
  <r>
    <s v="PO-00590"/>
    <s v="Beta_Supplies"/>
    <x v="394"/>
    <x v="376"/>
    <s v="Packaging"/>
    <s v="Partially Delivered"/>
    <n v="1131"/>
    <n v="97.43"/>
    <n v="91.28"/>
    <n v="103"/>
    <x v="0"/>
  </r>
  <r>
    <s v="PO-00591"/>
    <s v="Epsilon_Group"/>
    <x v="2"/>
    <x v="314"/>
    <s v="Raw Materials"/>
    <s v="Cancelled"/>
    <n v="1419"/>
    <n v="50.14"/>
    <n v="43.46"/>
    <m/>
    <x v="0"/>
  </r>
  <r>
    <s v="PO-00592"/>
    <s v="Delta_Logistics"/>
    <x v="395"/>
    <x v="14"/>
    <s v="Raw Materials"/>
    <s v="Pending"/>
    <n v="790"/>
    <n v="26.8"/>
    <n v="25.62"/>
    <n v="115"/>
    <x v="0"/>
  </r>
  <r>
    <s v="PO-00593"/>
    <s v="Gamma_Co"/>
    <x v="4"/>
    <x v="377"/>
    <s v="MRO"/>
    <s v="Pending"/>
    <n v="1547"/>
    <n v="61.12"/>
    <n v="53.43"/>
    <n v="77"/>
    <x v="0"/>
  </r>
  <r>
    <s v="PO-00594"/>
    <s v="Delta_Logistics"/>
    <x v="165"/>
    <x v="191"/>
    <s v="Office Supplies"/>
    <s v="Cancelled"/>
    <n v="166"/>
    <n v="95.65"/>
    <n v="94.48"/>
    <n v="23"/>
    <x v="0"/>
  </r>
  <r>
    <s v="PO-00595"/>
    <s v="Alpha_Inc"/>
    <x v="396"/>
    <x v="249"/>
    <s v="Electronics"/>
    <s v="Delivered"/>
    <n v="1903"/>
    <n v="83.49"/>
    <n v="82.33"/>
    <n v="43"/>
    <x v="0"/>
  </r>
  <r>
    <s v="PO-00596"/>
    <s v="Delta_Logistics"/>
    <x v="277"/>
    <x v="378"/>
    <s v="Office Supplies"/>
    <s v="Partially Delivered"/>
    <n v="840"/>
    <n v="83.42"/>
    <n v="80.349999999999994"/>
    <n v="153"/>
    <x v="0"/>
  </r>
  <r>
    <s v="PO-00597"/>
    <s v="Delta_Logistics"/>
    <x v="397"/>
    <x v="13"/>
    <s v="MRO"/>
    <s v="Delivered"/>
    <n v="1200"/>
    <n v="74.489999999999995"/>
    <n v="64.63"/>
    <n v="161"/>
    <x v="0"/>
  </r>
  <r>
    <s v="PO-00598"/>
    <s v="Gamma_Co"/>
    <x v="398"/>
    <x v="197"/>
    <s v="Raw Materials"/>
    <s v="Delivered"/>
    <n v="1466"/>
    <n v="77.37"/>
    <n v="70.349999999999994"/>
    <n v="72"/>
    <x v="0"/>
  </r>
  <r>
    <s v="PO-00599"/>
    <s v="Alpha_Inc"/>
    <x v="399"/>
    <x v="134"/>
    <s v="Office Supplies"/>
    <s v="Delivered"/>
    <n v="1981"/>
    <n v="95.5"/>
    <n v="94.39"/>
    <n v="49"/>
    <x v="0"/>
  </r>
  <r>
    <s v="PO-00600"/>
    <s v="Gamma_Co"/>
    <x v="400"/>
    <x v="50"/>
    <s v="Packaging"/>
    <s v="Delivered"/>
    <n v="1062"/>
    <n v="35.549999999999997"/>
    <n v="32.380000000000003"/>
    <m/>
    <x v="0"/>
  </r>
  <r>
    <s v="PO-00601"/>
    <s v="Alpha_Inc"/>
    <x v="401"/>
    <x v="379"/>
    <s v="MRO"/>
    <s v="Delivered"/>
    <n v="1714"/>
    <n v="55.67"/>
    <n v="55.09"/>
    <n v="42"/>
    <x v="0"/>
  </r>
  <r>
    <s v="PO-00602"/>
    <s v="Alpha_Inc"/>
    <x v="241"/>
    <x v="380"/>
    <s v="Office Supplies"/>
    <s v="Delivered"/>
    <n v="1131"/>
    <n v="33.35"/>
    <n v="31.28"/>
    <n v="23"/>
    <x v="0"/>
  </r>
  <r>
    <s v="PO-00603"/>
    <s v="Alpha_Inc"/>
    <x v="402"/>
    <x v="330"/>
    <s v="Office Supplies"/>
    <s v="Delivered"/>
    <n v="683"/>
    <n v="104.82"/>
    <n v="101.34"/>
    <m/>
    <x v="0"/>
  </r>
  <r>
    <s v="PO-00604"/>
    <s v="Gamma_Co"/>
    <x v="403"/>
    <x v="381"/>
    <s v="Packaging"/>
    <s v="Partially Delivered"/>
    <n v="562"/>
    <n v="102.56"/>
    <n v="90.88"/>
    <n v="38"/>
    <x v="0"/>
  </r>
  <r>
    <s v="PO-00605"/>
    <s v="Alpha_Inc"/>
    <x v="351"/>
    <x v="382"/>
    <s v="Electronics"/>
    <s v="Delivered"/>
    <n v="1824"/>
    <n v="14.43"/>
    <n v="14.11"/>
    <n v="36"/>
    <x v="0"/>
  </r>
  <r>
    <s v="PO-00606"/>
    <s v="Beta_Supplies"/>
    <x v="404"/>
    <x v="217"/>
    <s v="Electronics"/>
    <s v="Partially Delivered"/>
    <n v="851"/>
    <n v="76.44"/>
    <n v="74.760000000000005"/>
    <n v="91"/>
    <x v="0"/>
  </r>
  <r>
    <s v="PO-00607"/>
    <s v="Beta_Supplies"/>
    <x v="323"/>
    <x v="6"/>
    <s v="Office Supplies"/>
    <s v="Delivered"/>
    <n v="1169"/>
    <n v="95.6"/>
    <n v="82.16"/>
    <n v="103"/>
    <x v="0"/>
  </r>
  <r>
    <s v="PO-00608"/>
    <s v="Epsilon_Group"/>
    <x v="100"/>
    <x v="277"/>
    <s v="MRO"/>
    <s v="Delivered"/>
    <n v="1711"/>
    <n v="29.14"/>
    <n v="26.35"/>
    <n v="48"/>
    <x v="0"/>
  </r>
  <r>
    <s v="PO-00609"/>
    <s v="Beta_Supplies"/>
    <x v="85"/>
    <x v="383"/>
    <s v="Packaging"/>
    <s v="Pending"/>
    <n v="1191"/>
    <n v="68.14"/>
    <n v="61.71"/>
    <n v="112"/>
    <x v="0"/>
  </r>
  <r>
    <s v="PO-00610"/>
    <s v="Epsilon_Group"/>
    <x v="405"/>
    <x v="384"/>
    <s v="Electronics"/>
    <s v="Delivered"/>
    <n v="609"/>
    <n v="92.39"/>
    <n v="82.75"/>
    <n v="29"/>
    <x v="0"/>
  </r>
  <r>
    <s v="PO-00611"/>
    <s v="Beta_Supplies"/>
    <x v="299"/>
    <x v="247"/>
    <s v="Office Supplies"/>
    <s v="Delivered"/>
    <n v="1674"/>
    <n v="13.25"/>
    <n v="11.77"/>
    <n v="181"/>
    <x v="0"/>
  </r>
  <r>
    <s v="PO-00612"/>
    <s v="Gamma_Co"/>
    <x v="406"/>
    <x v="385"/>
    <s v="MRO"/>
    <s v="Delivered"/>
    <n v="537"/>
    <n v="77.86"/>
    <n v="71.180000000000007"/>
    <n v="20"/>
    <x v="0"/>
  </r>
  <r>
    <s v="PO-00613"/>
    <s v="Epsilon_Group"/>
    <x v="87"/>
    <x v="16"/>
    <s v="Electronics"/>
    <s v="Delivered"/>
    <n v="1310"/>
    <n v="38.049999999999997"/>
    <n v="37"/>
    <n v="45"/>
    <x v="0"/>
  </r>
  <r>
    <s v="PO-00614"/>
    <s v="Delta_Logistics"/>
    <x v="407"/>
    <x v="73"/>
    <s v="Raw Materials"/>
    <s v="Delivered"/>
    <n v="1958"/>
    <n v="95.53"/>
    <n v="91.72"/>
    <n v="308"/>
    <x v="0"/>
  </r>
  <r>
    <s v="PO-00615"/>
    <s v="Delta_Logistics"/>
    <x v="408"/>
    <x v="31"/>
    <s v="Office Supplies"/>
    <s v="Delivered"/>
    <n v="946"/>
    <n v="108.6"/>
    <n v="101.78"/>
    <n v="146"/>
    <x v="0"/>
  </r>
  <r>
    <s v="PO-00616"/>
    <s v="Beta_Supplies"/>
    <x v="409"/>
    <x v="386"/>
    <s v="Packaging"/>
    <s v="Partially Delivered"/>
    <n v="1345"/>
    <n v="103.06"/>
    <n v="95.14"/>
    <m/>
    <x v="0"/>
  </r>
  <r>
    <s v="PO-00617"/>
    <s v="Delta_Logistics"/>
    <x v="410"/>
    <x v="387"/>
    <s v="MRO"/>
    <s v="Delivered"/>
    <n v="1262"/>
    <n v="56.63"/>
    <n v="51.46"/>
    <m/>
    <x v="1"/>
  </r>
  <r>
    <s v="PO-00618"/>
    <s v="Beta_Supplies"/>
    <x v="228"/>
    <x v="213"/>
    <s v="Office Supplies"/>
    <s v="Pending"/>
    <n v="753"/>
    <n v="88.02"/>
    <n v="79.92"/>
    <n v="75"/>
    <x v="0"/>
  </r>
  <r>
    <s v="PO-00619"/>
    <s v="Beta_Supplies"/>
    <x v="86"/>
    <x v="97"/>
    <s v="Electronics"/>
    <s v="Delivered"/>
    <n v="1520"/>
    <n v="93.75"/>
    <n v="81.63"/>
    <n v="149"/>
    <x v="0"/>
  </r>
  <r>
    <s v="PO-00620"/>
    <s v="Delta_Logistics"/>
    <x v="224"/>
    <x v="388"/>
    <s v="Office Supplies"/>
    <s v="Delivered"/>
    <n v="630"/>
    <n v="40.270000000000003"/>
    <n v="37.54"/>
    <n v="76"/>
    <x v="0"/>
  </r>
  <r>
    <s v="PO-00621"/>
    <s v="Delta_Logistics"/>
    <x v="411"/>
    <x v="389"/>
    <s v="Office Supplies"/>
    <s v="Delivered"/>
    <n v="839"/>
    <n v="86.29"/>
    <n v="82.51"/>
    <n v="110"/>
    <x v="0"/>
  </r>
  <r>
    <s v="PO-00622"/>
    <s v="Alpha_Inc"/>
    <x v="412"/>
    <x v="390"/>
    <s v="Electronics"/>
    <s v="Delivered"/>
    <n v="910"/>
    <n v="14.33"/>
    <n v="14.07"/>
    <n v="27"/>
    <x v="0"/>
  </r>
  <r>
    <s v="PO-00623"/>
    <s v="Epsilon_Group"/>
    <x v="413"/>
    <x v="391"/>
    <s v="Raw Materials"/>
    <s v="Delivered"/>
    <n v="296"/>
    <n v="64.94"/>
    <n v="63.61"/>
    <m/>
    <x v="0"/>
  </r>
  <r>
    <s v="PO-00624"/>
    <s v="Beta_Supplies"/>
    <x v="410"/>
    <x v="392"/>
    <s v="MRO"/>
    <s v="Delivered"/>
    <n v="1149"/>
    <n v="33"/>
    <n v="30.65"/>
    <n v="141"/>
    <x v="0"/>
  </r>
  <r>
    <s v="PO-00625"/>
    <s v="Delta_Logistics"/>
    <x v="293"/>
    <x v="372"/>
    <s v="Electronics"/>
    <s v="Delivered"/>
    <n v="203"/>
    <n v="23.14"/>
    <n v="20"/>
    <m/>
    <x v="1"/>
  </r>
  <r>
    <s v="PO-00626"/>
    <s v="Epsilon_Group"/>
    <x v="147"/>
    <x v="141"/>
    <s v="Office Supplies"/>
    <s v="Delivered"/>
    <n v="1729"/>
    <n v="18.36"/>
    <n v="16.34"/>
    <n v="47"/>
    <x v="0"/>
  </r>
  <r>
    <s v="PO-00627"/>
    <s v="Delta_Logistics"/>
    <x v="414"/>
    <x v="148"/>
    <s v="Office Supplies"/>
    <s v="Delivered"/>
    <n v="1508"/>
    <n v="79.209999999999994"/>
    <n v="73.27"/>
    <n v="226"/>
    <x v="0"/>
  </r>
  <r>
    <s v="PO-00628"/>
    <s v="Delta_Logistics"/>
    <x v="256"/>
    <x v="393"/>
    <s v="Packaging"/>
    <s v="Partially Delivered"/>
    <n v="1046"/>
    <n v="44.65"/>
    <n v="40.1"/>
    <n v="165"/>
    <x v="1"/>
  </r>
  <r>
    <s v="PO-00629"/>
    <s v="Alpha_Inc"/>
    <x v="415"/>
    <x v="263"/>
    <s v="Office Supplies"/>
    <s v="Delivered"/>
    <n v="1159"/>
    <n v="78.989999999999995"/>
    <n v="71.69"/>
    <n v="14"/>
    <x v="0"/>
  </r>
  <r>
    <s v="PO-00630"/>
    <s v="Beta_Supplies"/>
    <x v="226"/>
    <x v="394"/>
    <s v="Electronics"/>
    <s v="Delivered"/>
    <n v="746"/>
    <n v="16.989999999999998"/>
    <n v="15.35"/>
    <n v="69"/>
    <x v="1"/>
  </r>
  <r>
    <s v="PO-00631"/>
    <s v="Beta_Supplies"/>
    <x v="416"/>
    <x v="250"/>
    <s v="Packaging"/>
    <s v="Delivered"/>
    <n v="1358"/>
    <n v="42.21"/>
    <n v="38.75"/>
    <n v="128"/>
    <x v="0"/>
  </r>
  <r>
    <s v="PO-00632"/>
    <s v="Gamma_Co"/>
    <x v="417"/>
    <x v="395"/>
    <s v="Office Supplies"/>
    <s v="Delivered"/>
    <n v="1293"/>
    <n v="63.53"/>
    <n v="59.42"/>
    <n v="79"/>
    <x v="0"/>
  </r>
  <r>
    <s v="PO-00633"/>
    <s v="Alpha_Inc"/>
    <x v="418"/>
    <x v="396"/>
    <s v="Electronics"/>
    <s v="Delivered"/>
    <n v="1142"/>
    <n v="86.85"/>
    <n v="74.28"/>
    <n v="30"/>
    <x v="0"/>
  </r>
  <r>
    <s v="PO-00634"/>
    <s v="Epsilon_Group"/>
    <x v="380"/>
    <x v="397"/>
    <s v="MRO"/>
    <s v="Delivered"/>
    <n v="1120"/>
    <n v="42.17"/>
    <n v="37.47"/>
    <n v="33"/>
    <x v="0"/>
  </r>
  <r>
    <s v="PO-00635"/>
    <s v="Alpha_Inc"/>
    <x v="419"/>
    <x v="398"/>
    <s v="MRO"/>
    <s v="Delivered"/>
    <n v="1058"/>
    <n v="71.3"/>
    <n v="62.04"/>
    <m/>
    <x v="0"/>
  </r>
  <r>
    <s v="PO-00636"/>
    <s v="Epsilon_Group"/>
    <x v="420"/>
    <x v="13"/>
    <s v="Office Supplies"/>
    <s v="Delivered"/>
    <n v="143"/>
    <n v="91.98"/>
    <n v="86.02"/>
    <n v="5"/>
    <x v="0"/>
  </r>
  <r>
    <s v="PO-00637"/>
    <s v="Beta_Supplies"/>
    <x v="165"/>
    <x v="399"/>
    <s v="MRO"/>
    <s v="Delivered"/>
    <n v="1823"/>
    <n v="70.66"/>
    <n v="66.92"/>
    <n v="202"/>
    <x v="0"/>
  </r>
  <r>
    <s v="PO-00638"/>
    <s v="Gamma_Co"/>
    <x v="421"/>
    <x v="400"/>
    <s v="Office Supplies"/>
    <s v="Delivered"/>
    <n v="1007"/>
    <n v="33.29"/>
    <n v="28.48"/>
    <n v="49"/>
    <x v="0"/>
  </r>
  <r>
    <s v="PO-00639"/>
    <s v="Gamma_Co"/>
    <x v="422"/>
    <x v="401"/>
    <s v="Packaging"/>
    <s v="Delivered"/>
    <n v="1061"/>
    <n v="12.68"/>
    <n v="12.36"/>
    <n v="56"/>
    <x v="1"/>
  </r>
  <r>
    <s v="PO-00640"/>
    <s v="Beta_Supplies"/>
    <x v="180"/>
    <x v="402"/>
    <s v="MRO"/>
    <s v="Pending"/>
    <n v="502"/>
    <n v="91.84"/>
    <n v="82.33"/>
    <m/>
    <x v="0"/>
  </r>
  <r>
    <s v="PO-00641"/>
    <s v="Delta_Logistics"/>
    <x v="313"/>
    <x v="403"/>
    <s v="Packaging"/>
    <s v="Delivered"/>
    <n v="1277"/>
    <n v="13.17"/>
    <n v="11.63"/>
    <n v="199"/>
    <x v="1"/>
  </r>
  <r>
    <s v="PO-00642"/>
    <s v="Alpha_Inc"/>
    <x v="309"/>
    <x v="208"/>
    <s v="Packaging"/>
    <s v="Delivered"/>
    <n v="961"/>
    <n v="92.72"/>
    <n v="88.49"/>
    <n v="22"/>
    <x v="0"/>
  </r>
  <r>
    <s v="PO-00643"/>
    <s v="Gamma_Co"/>
    <x v="423"/>
    <x v="404"/>
    <s v="Packaging"/>
    <s v="Delivered"/>
    <n v="267"/>
    <n v="62.5"/>
    <n v="61.18"/>
    <n v="17"/>
    <x v="0"/>
  </r>
  <r>
    <s v="PO-00644"/>
    <s v="Delta_Logistics"/>
    <x v="424"/>
    <x v="405"/>
    <s v="Raw Materials"/>
    <s v="Cancelled"/>
    <n v="523"/>
    <n v="102.08"/>
    <n v="99.59"/>
    <m/>
    <x v="0"/>
  </r>
  <r>
    <s v="PO-00645"/>
    <s v="Epsilon_Group"/>
    <x v="425"/>
    <x v="72"/>
    <s v="Electronics"/>
    <s v="Pending"/>
    <n v="481"/>
    <n v="90.49"/>
    <n v="77.17"/>
    <m/>
    <x v="0"/>
  </r>
  <r>
    <s v="PO-00646"/>
    <s v="Gamma_Co"/>
    <x v="272"/>
    <x v="406"/>
    <s v="Office Supplies"/>
    <s v="Delivered"/>
    <n v="390"/>
    <n v="103.81"/>
    <n v="100.12"/>
    <n v="20"/>
    <x v="0"/>
  </r>
  <r>
    <s v="PO-00647"/>
    <s v="Epsilon_Group"/>
    <x v="3"/>
    <x v="407"/>
    <s v="Packaging"/>
    <s v="Delivered"/>
    <n v="600"/>
    <n v="43.43"/>
    <n v="38.76"/>
    <n v="22"/>
    <x v="0"/>
  </r>
  <r>
    <s v="PO-00648"/>
    <s v="Delta_Logistics"/>
    <x v="426"/>
    <x v="13"/>
    <s v="Office Supplies"/>
    <s v="Delivered"/>
    <n v="1685"/>
    <n v="84.58"/>
    <n v="75.209999999999994"/>
    <n v="253"/>
    <x v="1"/>
  </r>
  <r>
    <s v="PO-00649"/>
    <s v="Epsilon_Group"/>
    <x v="427"/>
    <x v="71"/>
    <s v="Packaging"/>
    <s v="Cancelled"/>
    <n v="1362"/>
    <n v="46.64"/>
    <n v="42.85"/>
    <n v="33"/>
    <x v="0"/>
  </r>
  <r>
    <s v="PO-00650"/>
    <s v="Delta_Logistics"/>
    <x v="173"/>
    <x v="181"/>
    <s v="Electronics"/>
    <s v="Pending"/>
    <n v="1327"/>
    <n v="59.57"/>
    <n v="56.44"/>
    <n v="169"/>
    <x v="0"/>
  </r>
  <r>
    <s v="PO-00651"/>
    <s v="Epsilon_Group"/>
    <x v="240"/>
    <x v="13"/>
    <s v="MRO"/>
    <s v="Delivered"/>
    <n v="1807"/>
    <n v="69.47"/>
    <n v="60"/>
    <n v="50"/>
    <x v="0"/>
  </r>
  <r>
    <s v="PO-00652"/>
    <s v="Alpha_Inc"/>
    <x v="258"/>
    <x v="408"/>
    <s v="Office Supplies"/>
    <s v="Pending"/>
    <n v="406"/>
    <n v="91.73"/>
    <n v="89.13"/>
    <m/>
    <x v="0"/>
  </r>
  <r>
    <s v="PO-00653"/>
    <s v="Gamma_Co"/>
    <x v="300"/>
    <x v="316"/>
    <s v="Raw Materials"/>
    <s v="Partially Delivered"/>
    <n v="72"/>
    <n v="103"/>
    <n v="89.49"/>
    <n v="1"/>
    <x v="1"/>
  </r>
  <r>
    <s v="PO-00654"/>
    <s v="Gamma_Co"/>
    <x v="391"/>
    <x v="184"/>
    <s v="Office Supplies"/>
    <s v="Delivered"/>
    <n v="1835"/>
    <n v="83.5"/>
    <n v="82.36"/>
    <n v="85"/>
    <x v="1"/>
  </r>
  <r>
    <s v="PO-00655"/>
    <s v="Delta_Logistics"/>
    <x v="428"/>
    <x v="84"/>
    <s v="Electronics"/>
    <s v="Pending"/>
    <n v="571"/>
    <n v="49.98"/>
    <n v="45.58"/>
    <m/>
    <x v="1"/>
  </r>
  <r>
    <s v="PO-00656"/>
    <s v="Epsilon_Group"/>
    <x v="230"/>
    <x v="74"/>
    <s v="Packaging"/>
    <s v="Delivered"/>
    <n v="1831"/>
    <n v="52.24"/>
    <n v="50.44"/>
    <n v="60"/>
    <x v="0"/>
  </r>
  <r>
    <s v="PO-00657"/>
    <s v="Beta_Supplies"/>
    <x v="254"/>
    <x v="216"/>
    <s v="Office Supplies"/>
    <s v="Pending"/>
    <n v="1910"/>
    <n v="77.150000000000006"/>
    <n v="68.489999999999995"/>
    <n v="170"/>
    <x v="0"/>
  </r>
  <r>
    <s v="PO-00658"/>
    <s v="Gamma_Co"/>
    <x v="114"/>
    <x v="409"/>
    <s v="Electronics"/>
    <s v="Partially Delivered"/>
    <n v="1173"/>
    <n v="32.119999999999997"/>
    <n v="29.18"/>
    <m/>
    <x v="0"/>
  </r>
  <r>
    <s v="PO-00659"/>
    <s v="Epsilon_Group"/>
    <x v="429"/>
    <x v="410"/>
    <s v="Packaging"/>
    <s v="Partially Delivered"/>
    <n v="851"/>
    <n v="20.440000000000001"/>
    <n v="19.22"/>
    <n v="22"/>
    <x v="0"/>
  </r>
  <r>
    <s v="PO-00660"/>
    <s v="Epsilon_Group"/>
    <x v="430"/>
    <x v="146"/>
    <s v="MRO"/>
    <s v="Cancelled"/>
    <n v="1253"/>
    <n v="43.38"/>
    <n v="38.01"/>
    <n v="34"/>
    <x v="0"/>
  </r>
  <r>
    <s v="PO-00661"/>
    <s v="Alpha_Inc"/>
    <x v="431"/>
    <x v="330"/>
    <s v="Electronics"/>
    <s v="Delivered"/>
    <n v="1296"/>
    <n v="38"/>
    <n v="33.42"/>
    <n v="33"/>
    <x v="0"/>
  </r>
  <r>
    <s v="PO-00662"/>
    <s v="Beta_Supplies"/>
    <x v="432"/>
    <x v="380"/>
    <s v="Raw Materials"/>
    <s v="Delivered"/>
    <n v="1979"/>
    <n v="40.880000000000003"/>
    <n v="39.46"/>
    <n v="221"/>
    <x v="0"/>
  </r>
  <r>
    <s v="PO-00663"/>
    <s v="Gamma_Co"/>
    <x v="120"/>
    <x v="233"/>
    <s v="Office Supplies"/>
    <s v="Delivered"/>
    <n v="811"/>
    <n v="31.8"/>
    <n v="30.33"/>
    <n v="58"/>
    <x v="0"/>
  </r>
  <r>
    <s v="PO-00664"/>
    <s v="Alpha_Inc"/>
    <x v="433"/>
    <x v="411"/>
    <s v="Electronics"/>
    <s v="Delivered"/>
    <n v="1732"/>
    <n v="15.37"/>
    <n v="14.7"/>
    <n v="38"/>
    <x v="0"/>
  </r>
  <r>
    <s v="PO-00665"/>
    <s v="Beta_Supplies"/>
    <x v="198"/>
    <x v="178"/>
    <s v="Packaging"/>
    <s v="Delivered"/>
    <n v="491"/>
    <n v="12.01"/>
    <n v="11.67"/>
    <n v="47"/>
    <x v="0"/>
  </r>
  <r>
    <s v="PO-00666"/>
    <s v="Gamma_Co"/>
    <x v="124"/>
    <x v="147"/>
    <s v="Packaging"/>
    <s v="Cancelled"/>
    <n v="1681"/>
    <n v="99.88"/>
    <n v="96.38"/>
    <n v="90"/>
    <x v="0"/>
  </r>
  <r>
    <s v="PO-00667"/>
    <s v="Alpha_Inc"/>
    <x v="398"/>
    <x v="412"/>
    <s v="Raw Materials"/>
    <s v="Partially Delivered"/>
    <n v="818"/>
    <n v="51.89"/>
    <n v="47.85"/>
    <n v="12"/>
    <x v="0"/>
  </r>
  <r>
    <s v="PO-00668"/>
    <s v="Beta_Supplies"/>
    <x v="434"/>
    <x v="412"/>
    <s v="Office Supplies"/>
    <s v="Delivered"/>
    <n v="1065"/>
    <n v="47.49"/>
    <n v="41.42"/>
    <n v="113"/>
    <x v="0"/>
  </r>
  <r>
    <s v="PO-00669"/>
    <s v="Gamma_Co"/>
    <x v="193"/>
    <x v="413"/>
    <s v="Packaging"/>
    <s v="Delivered"/>
    <n v="1398"/>
    <n v="75.08"/>
    <n v="67.09"/>
    <n v="57"/>
    <x v="0"/>
  </r>
  <r>
    <s v="PO-00670"/>
    <s v="Beta_Supplies"/>
    <x v="248"/>
    <x v="237"/>
    <s v="Packaging"/>
    <s v="Delivered"/>
    <n v="565"/>
    <n v="32.31"/>
    <n v="29.76"/>
    <n v="60"/>
    <x v="0"/>
  </r>
  <r>
    <s v="PO-00671"/>
    <s v="Epsilon_Group"/>
    <x v="435"/>
    <x v="199"/>
    <s v="Packaging"/>
    <s v="Pending"/>
    <n v="1089"/>
    <n v="102.66"/>
    <n v="89.21"/>
    <n v="33"/>
    <x v="0"/>
  </r>
  <r>
    <s v="PO-00672"/>
    <s v="Delta_Logistics"/>
    <x v="436"/>
    <x v="165"/>
    <s v="Electronics"/>
    <s v="Delivered"/>
    <n v="841"/>
    <n v="86.43"/>
    <n v="83.77"/>
    <n v="125"/>
    <x v="1"/>
  </r>
  <r>
    <s v="PO-00673"/>
    <s v="Delta_Logistics"/>
    <x v="437"/>
    <x v="203"/>
    <s v="Electronics"/>
    <s v="Delivered"/>
    <n v="385"/>
    <n v="18.23"/>
    <n v="17.739999999999998"/>
    <m/>
    <x v="0"/>
  </r>
  <r>
    <s v="PO-00674"/>
    <s v="Epsilon_Group"/>
    <x v="438"/>
    <x v="414"/>
    <s v="Office Supplies"/>
    <s v="Delivered"/>
    <n v="1832"/>
    <n v="49.01"/>
    <n v="41.86"/>
    <n v="52"/>
    <x v="0"/>
  </r>
  <r>
    <s v="PO-00675"/>
    <s v="Beta_Supplies"/>
    <x v="373"/>
    <x v="415"/>
    <s v="Raw Materials"/>
    <s v="Delivered"/>
    <n v="307"/>
    <n v="95.36"/>
    <n v="83.63"/>
    <n v="29"/>
    <x v="0"/>
  </r>
  <r>
    <s v="PO-00676"/>
    <s v="Epsilon_Group"/>
    <x v="439"/>
    <x v="59"/>
    <s v="Office Supplies"/>
    <s v="Delivered"/>
    <n v="546"/>
    <n v="101.2"/>
    <n v="97.82"/>
    <n v="21"/>
    <x v="0"/>
  </r>
  <r>
    <s v="PO-00677"/>
    <s v="Delta_Logistics"/>
    <x v="110"/>
    <x v="11"/>
    <s v="Raw Materials"/>
    <s v="Delivered"/>
    <n v="945"/>
    <n v="57.01"/>
    <n v="55.14"/>
    <n v="147"/>
    <x v="1"/>
  </r>
  <r>
    <s v="PO-00678"/>
    <s v="Delta_Logistics"/>
    <x v="408"/>
    <x v="416"/>
    <s v="MRO"/>
    <s v="Pending"/>
    <n v="209"/>
    <n v="72.709999999999994"/>
    <n v="64.34"/>
    <n v="39"/>
    <x v="0"/>
  </r>
  <r>
    <s v="PO-00679"/>
    <s v="Beta_Supplies"/>
    <x v="440"/>
    <x v="13"/>
    <s v="Packaging"/>
    <s v="Delivered"/>
    <n v="1548"/>
    <n v="25.03"/>
    <n v="22.87"/>
    <m/>
    <x v="0"/>
  </r>
  <r>
    <s v="PO-00680"/>
    <s v="Delta_Logistics"/>
    <x v="400"/>
    <x v="302"/>
    <s v="Raw Materials"/>
    <s v="Delivered"/>
    <n v="901"/>
    <n v="108.63"/>
    <n v="106.3"/>
    <n v="141"/>
    <x v="0"/>
  </r>
  <r>
    <s v="PO-00681"/>
    <s v="Epsilon_Group"/>
    <x v="38"/>
    <x v="77"/>
    <s v="Packaging"/>
    <s v="Delivered"/>
    <n v="1737"/>
    <n v="32.700000000000003"/>
    <n v="31.02"/>
    <n v="48"/>
    <x v="0"/>
  </r>
  <r>
    <s v="PO-00682"/>
    <s v="Beta_Supplies"/>
    <x v="251"/>
    <x v="220"/>
    <s v="Raw Materials"/>
    <s v="Delivered"/>
    <n v="1981"/>
    <n v="102.43"/>
    <n v="90.99"/>
    <n v="204"/>
    <x v="0"/>
  </r>
  <r>
    <s v="PO-00683"/>
    <s v="Epsilon_Group"/>
    <x v="30"/>
    <x v="417"/>
    <s v="MRO"/>
    <s v="Pending"/>
    <n v="739"/>
    <n v="68.47"/>
    <n v="66.09"/>
    <n v="19"/>
    <x v="0"/>
  </r>
  <r>
    <s v="PO-00684"/>
    <s v="Beta_Supplies"/>
    <x v="441"/>
    <x v="418"/>
    <s v="Raw Materials"/>
    <s v="Delivered"/>
    <n v="1748"/>
    <n v="68.25"/>
    <n v="62.84"/>
    <n v="171"/>
    <x v="0"/>
  </r>
  <r>
    <s v="PO-00685"/>
    <s v="Delta_Logistics"/>
    <x v="143"/>
    <x v="419"/>
    <s v="Office Supplies"/>
    <s v="Cancelled"/>
    <n v="429"/>
    <n v="58.95"/>
    <n v="55.35"/>
    <n v="59"/>
    <x v="1"/>
  </r>
  <r>
    <s v="PO-00686"/>
    <s v="Gamma_Co"/>
    <x v="238"/>
    <x v="13"/>
    <s v="Electronics"/>
    <s v="Delivered"/>
    <n v="1618"/>
    <n v="32.76"/>
    <n v="28.41"/>
    <n v="62"/>
    <x v="0"/>
  </r>
  <r>
    <s v="PO-00687"/>
    <s v="Beta_Supplies"/>
    <x v="25"/>
    <x v="420"/>
    <s v="Packaging"/>
    <s v="Delivered"/>
    <n v="1006"/>
    <n v="27.7"/>
    <n v="23.66"/>
    <n v="101"/>
    <x v="1"/>
  </r>
  <r>
    <s v="PO-00688"/>
    <s v="Beta_Supplies"/>
    <x v="108"/>
    <x v="421"/>
    <s v="Electronics"/>
    <s v="Partially Delivered"/>
    <n v="740"/>
    <n v="32.53"/>
    <n v="29.35"/>
    <n v="84"/>
    <x v="0"/>
  </r>
  <r>
    <s v="PO-00689"/>
    <s v="Gamma_Co"/>
    <x v="442"/>
    <x v="13"/>
    <s v="Raw Materials"/>
    <s v="Delivered"/>
    <n v="1500"/>
    <n v="29.19"/>
    <n v="27.24"/>
    <n v="72"/>
    <x v="0"/>
  </r>
  <r>
    <s v="PO-00690"/>
    <s v="Delta_Logistics"/>
    <x v="443"/>
    <x v="422"/>
    <s v="Office Supplies"/>
    <s v="Cancelled"/>
    <n v="1686"/>
    <n v="88.18"/>
    <n v="77.150000000000006"/>
    <m/>
    <x v="0"/>
  </r>
  <r>
    <s v="PO-00691"/>
    <s v="Epsilon_Group"/>
    <x v="26"/>
    <x v="423"/>
    <s v="Raw Materials"/>
    <s v="Cancelled"/>
    <n v="1341"/>
    <n v="42.96"/>
    <n v="41.75"/>
    <n v="39"/>
    <x v="0"/>
  </r>
  <r>
    <s v="PO-00692"/>
    <s v="Alpha_Inc"/>
    <x v="444"/>
    <x v="424"/>
    <s v="MRO"/>
    <s v="Cancelled"/>
    <n v="1908"/>
    <n v="16.420000000000002"/>
    <n v="15.31"/>
    <n v="36"/>
    <x v="0"/>
  </r>
  <r>
    <s v="PO-00693"/>
    <s v="Gamma_Co"/>
    <x v="87"/>
    <x v="312"/>
    <s v="MRO"/>
    <s v="Partially Delivered"/>
    <n v="1650"/>
    <n v="100.62"/>
    <n v="90.45"/>
    <n v="85"/>
    <x v="0"/>
  </r>
  <r>
    <s v="PO-00694"/>
    <s v="Alpha_Inc"/>
    <x v="445"/>
    <x v="425"/>
    <s v="MRO"/>
    <s v="Delivered"/>
    <n v="1490"/>
    <n v="93.57"/>
    <n v="81.680000000000007"/>
    <n v="29"/>
    <x v="0"/>
  </r>
  <r>
    <s v="PO-00695"/>
    <s v="Delta_Logistics"/>
    <x v="358"/>
    <x v="339"/>
    <s v="Raw Materials"/>
    <s v="Delivered"/>
    <n v="1241"/>
    <n v="100.04"/>
    <n v="97.56"/>
    <n v="187"/>
    <x v="0"/>
  </r>
  <r>
    <s v="PO-00696"/>
    <s v="Beta_Supplies"/>
    <x v="159"/>
    <x v="157"/>
    <s v="MRO"/>
    <s v="Delivered"/>
    <n v="1915"/>
    <n v="107.51"/>
    <n v="102.66"/>
    <n v="184"/>
    <x v="0"/>
  </r>
  <r>
    <s v="PO-00697"/>
    <s v="Beta_Supplies"/>
    <x v="446"/>
    <x v="426"/>
    <s v="Raw Materials"/>
    <s v="Delivered"/>
    <n v="1116"/>
    <n v="25.65"/>
    <n v="24.28"/>
    <n v="121"/>
    <x v="0"/>
  </r>
  <r>
    <s v="PO-00698"/>
    <s v="Delta_Logistics"/>
    <x v="439"/>
    <x v="59"/>
    <s v="Raw Materials"/>
    <s v="Delivered"/>
    <n v="1629"/>
    <n v="48.63"/>
    <n v="43.28"/>
    <n v="260"/>
    <x v="0"/>
  </r>
  <r>
    <s v="PO-00699"/>
    <s v="Epsilon_Group"/>
    <x v="36"/>
    <x v="173"/>
    <s v="Office Supplies"/>
    <s v="Delivered"/>
    <n v="334"/>
    <n v="82.54"/>
    <n v="74.63"/>
    <m/>
    <x v="0"/>
  </r>
  <r>
    <s v="PO-00700"/>
    <s v="Epsilon_Group"/>
    <x v="447"/>
    <x v="427"/>
    <s v="Packaging"/>
    <s v="Delivered"/>
    <n v="446"/>
    <n v="80.63"/>
    <n v="70.37"/>
    <m/>
    <x v="0"/>
  </r>
  <r>
    <s v="PO-00701"/>
    <s v="Delta_Logistics"/>
    <x v="352"/>
    <x v="13"/>
    <s v="Electronics"/>
    <s v="Delivered"/>
    <n v="61"/>
    <n v="26.47"/>
    <n v="24.62"/>
    <n v="6"/>
    <x v="0"/>
  </r>
  <r>
    <s v="PO-00702"/>
    <s v="Delta_Logistics"/>
    <x v="448"/>
    <x v="428"/>
    <s v="Packaging"/>
    <s v="Delivered"/>
    <n v="1680"/>
    <n v="88.85"/>
    <n v="87.53"/>
    <m/>
    <x v="0"/>
  </r>
  <r>
    <s v="PO-00703"/>
    <s v="Delta_Logistics"/>
    <x v="167"/>
    <x v="75"/>
    <s v="Electronics"/>
    <s v="Delivered"/>
    <n v="1375"/>
    <n v="30.95"/>
    <n v="30.02"/>
    <n v="223"/>
    <x v="0"/>
  </r>
  <r>
    <s v="PO-00704"/>
    <s v="Delta_Logistics"/>
    <x v="211"/>
    <x v="392"/>
    <s v="Electronics"/>
    <s v="Partially Delivered"/>
    <n v="1971"/>
    <n v="32.4"/>
    <n v="30.48"/>
    <n v="321"/>
    <x v="0"/>
  </r>
  <r>
    <s v="PO-00705"/>
    <s v="Delta_Logistics"/>
    <x v="325"/>
    <x v="13"/>
    <s v="Raw Materials"/>
    <s v="Pending"/>
    <n v="1326"/>
    <n v="59.49"/>
    <n v="56.21"/>
    <m/>
    <x v="0"/>
  </r>
  <r>
    <s v="PO-00706"/>
    <s v="Delta_Logistics"/>
    <x v="449"/>
    <x v="429"/>
    <s v="MRO"/>
    <s v="Cancelled"/>
    <n v="548"/>
    <n v="69.7"/>
    <n v="61.87"/>
    <n v="90"/>
    <x v="0"/>
  </r>
  <r>
    <s v="PO-00707"/>
    <s v="Beta_Supplies"/>
    <x v="79"/>
    <x v="430"/>
    <s v="MRO"/>
    <s v="Delivered"/>
    <n v="803"/>
    <n v="67.81"/>
    <n v="61.53"/>
    <n v="78"/>
    <x v="0"/>
  </r>
  <r>
    <s v="PO-00708"/>
    <s v="Alpha_Inc"/>
    <x v="20"/>
    <x v="2"/>
    <s v="MRO"/>
    <s v="Delivered"/>
    <n v="84"/>
    <n v="18.23"/>
    <n v="15.55"/>
    <n v="0"/>
    <x v="0"/>
  </r>
  <r>
    <s v="PO-00709"/>
    <s v="Epsilon_Group"/>
    <x v="450"/>
    <x v="382"/>
    <s v="Packaging"/>
    <s v="Delivered"/>
    <n v="776"/>
    <n v="94.75"/>
    <n v="90.89"/>
    <n v="19"/>
    <x v="0"/>
  </r>
  <r>
    <s v="PO-00710"/>
    <s v="Alpha_Inc"/>
    <x v="451"/>
    <x v="431"/>
    <s v="MRO"/>
    <s v="Delivered"/>
    <n v="898"/>
    <n v="37.119999999999997"/>
    <n v="35.54"/>
    <n v="18"/>
    <x v="1"/>
  </r>
  <r>
    <s v="PO-00711"/>
    <s v="Beta_Supplies"/>
    <x v="452"/>
    <x v="432"/>
    <s v="Office Supplies"/>
    <s v="Cancelled"/>
    <n v="139"/>
    <n v="23.71"/>
    <n v="20.18"/>
    <n v="14"/>
    <x v="0"/>
  </r>
  <r>
    <s v="PO-00712"/>
    <s v="Gamma_Co"/>
    <x v="453"/>
    <x v="13"/>
    <s v="Raw Materials"/>
    <s v="Delivered"/>
    <n v="825"/>
    <n v="99.89"/>
    <n v="97.65"/>
    <n v="30"/>
    <x v="0"/>
  </r>
  <r>
    <s v="PO-00713"/>
    <s v="Alpha_Inc"/>
    <x v="20"/>
    <x v="433"/>
    <s v="MRO"/>
    <s v="Delivered"/>
    <n v="654"/>
    <n v="96.01"/>
    <n v="90.31"/>
    <n v="10"/>
    <x v="0"/>
  </r>
  <r>
    <s v="PO-00714"/>
    <s v="Gamma_Co"/>
    <x v="454"/>
    <x v="150"/>
    <s v="MRO"/>
    <s v="Delivered"/>
    <n v="1995"/>
    <n v="88.47"/>
    <n v="82.65"/>
    <n v="87"/>
    <x v="1"/>
  </r>
  <r>
    <s v="PO-00715"/>
    <s v="Beta_Supplies"/>
    <x v="103"/>
    <x v="62"/>
    <s v="MRO"/>
    <s v="Delivered"/>
    <n v="1019"/>
    <n v="91.56"/>
    <n v="77.930000000000007"/>
    <n v="111"/>
    <x v="1"/>
  </r>
  <r>
    <s v="PO-00716"/>
    <s v="Epsilon_Group"/>
    <x v="111"/>
    <x v="339"/>
    <s v="Packaging"/>
    <s v="Pending"/>
    <n v="1675"/>
    <n v="73.8"/>
    <n v="65.34"/>
    <n v="42"/>
    <x v="0"/>
  </r>
  <r>
    <s v="PO-00717"/>
    <s v="Gamma_Co"/>
    <x v="455"/>
    <x v="409"/>
    <s v="Raw Materials"/>
    <s v="Pending"/>
    <n v="1071"/>
    <n v="60.77"/>
    <n v="58.5"/>
    <m/>
    <x v="0"/>
  </r>
  <r>
    <s v="PO-00718"/>
    <s v="Beta_Supplies"/>
    <x v="456"/>
    <x v="61"/>
    <s v="Office Supplies"/>
    <s v="Delivered"/>
    <n v="467"/>
    <n v="19.170000000000002"/>
    <n v="17.11"/>
    <n v="49"/>
    <x v="0"/>
  </r>
  <r>
    <s v="PO-00719"/>
    <s v="Delta_Logistics"/>
    <x v="457"/>
    <x v="324"/>
    <s v="MRO"/>
    <s v="Pending"/>
    <n v="164"/>
    <n v="48.16"/>
    <n v="47.46"/>
    <n v="27"/>
    <x v="0"/>
  </r>
  <r>
    <s v="PO-00720"/>
    <s v="Epsilon_Group"/>
    <x v="228"/>
    <x v="223"/>
    <s v="Electronics"/>
    <s v="Cancelled"/>
    <n v="666"/>
    <n v="43.76"/>
    <n v="41.13"/>
    <n v="18"/>
    <x v="0"/>
  </r>
  <r>
    <s v="PO-00721"/>
    <s v="Delta_Logistics"/>
    <x v="458"/>
    <x v="267"/>
    <s v="Packaging"/>
    <s v="Partially Delivered"/>
    <n v="1976"/>
    <n v="34.71"/>
    <n v="31.56"/>
    <n v="286"/>
    <x v="1"/>
  </r>
  <r>
    <s v="PO-00722"/>
    <s v="Epsilon_Group"/>
    <x v="82"/>
    <x v="434"/>
    <s v="MRO"/>
    <s v="Delivered"/>
    <n v="1269"/>
    <n v="79.61"/>
    <n v="71.86"/>
    <n v="47"/>
    <x v="0"/>
  </r>
  <r>
    <s v="PO-00723"/>
    <s v="Epsilon_Group"/>
    <x v="459"/>
    <x v="348"/>
    <s v="MRO"/>
    <s v="Delivered"/>
    <n v="875"/>
    <n v="57.63"/>
    <n v="51.8"/>
    <n v="16"/>
    <x v="0"/>
  </r>
  <r>
    <s v="PO-00724"/>
    <s v="Alpha_Inc"/>
    <x v="96"/>
    <x v="13"/>
    <s v="Packaging"/>
    <s v="Partially Delivered"/>
    <n v="1574"/>
    <n v="17.899999999999999"/>
    <n v="15.85"/>
    <n v="31"/>
    <x v="0"/>
  </r>
  <r>
    <s v="PO-00725"/>
    <s v="Epsilon_Group"/>
    <x v="239"/>
    <x v="76"/>
    <s v="Office Supplies"/>
    <s v="Partially Delivered"/>
    <n v="1699"/>
    <n v="32.049999999999997"/>
    <n v="29.34"/>
    <n v="69"/>
    <x v="0"/>
  </r>
  <r>
    <s v="PO-00726"/>
    <s v="Alpha_Inc"/>
    <x v="371"/>
    <x v="413"/>
    <s v="Electronics"/>
    <s v="Delivered"/>
    <n v="1566"/>
    <n v="75.430000000000007"/>
    <n v="71.27"/>
    <n v="27"/>
    <x v="0"/>
  </r>
  <r>
    <s v="PO-00727"/>
    <s v="Gamma_Co"/>
    <x v="460"/>
    <x v="435"/>
    <s v="Electronics"/>
    <s v="Delivered"/>
    <n v="1148"/>
    <n v="17.78"/>
    <n v="17.16"/>
    <n v="61"/>
    <x v="0"/>
  </r>
  <r>
    <s v="PO-00728"/>
    <s v="Epsilon_Group"/>
    <x v="82"/>
    <x v="77"/>
    <s v="Office Supplies"/>
    <s v="Delivered"/>
    <n v="462"/>
    <n v="91.81"/>
    <n v="83.14"/>
    <n v="11"/>
    <x v="0"/>
  </r>
  <r>
    <s v="PO-00729"/>
    <s v="Gamma_Co"/>
    <x v="29"/>
    <x v="327"/>
    <s v="Packaging"/>
    <s v="Delivered"/>
    <n v="1449"/>
    <n v="57.02"/>
    <n v="49.28"/>
    <n v="71"/>
    <x v="0"/>
  </r>
  <r>
    <s v="PO-00730"/>
    <s v="Epsilon_Group"/>
    <x v="461"/>
    <x v="415"/>
    <s v="MRO"/>
    <s v="Delivered"/>
    <n v="1493"/>
    <n v="56.98"/>
    <n v="52.51"/>
    <n v="43"/>
    <x v="0"/>
  </r>
  <r>
    <s v="PO-00731"/>
    <s v="Alpha_Inc"/>
    <x v="462"/>
    <x v="293"/>
    <s v="Office Supplies"/>
    <s v="Delivered"/>
    <n v="778"/>
    <n v="65.849999999999994"/>
    <n v="62.08"/>
    <m/>
    <x v="1"/>
  </r>
  <r>
    <s v="PO-00732"/>
    <s v="Delta_Logistics"/>
    <x v="266"/>
    <x v="57"/>
    <s v="Packaging"/>
    <s v="Partially Delivered"/>
    <n v="1350"/>
    <n v="85.06"/>
    <n v="82.34"/>
    <m/>
    <x v="1"/>
  </r>
  <r>
    <s v="PO-00733"/>
    <s v="Epsilon_Group"/>
    <x v="341"/>
    <x v="392"/>
    <s v="Packaging"/>
    <s v="Delivered"/>
    <n v="1070"/>
    <n v="44.4"/>
    <n v="40.07"/>
    <n v="26"/>
    <x v="0"/>
  </r>
  <r>
    <s v="PO-00734"/>
    <s v="Beta_Supplies"/>
    <x v="152"/>
    <x v="314"/>
    <s v="Packaging"/>
    <s v="Pending"/>
    <n v="810"/>
    <n v="71.02"/>
    <n v="66.8"/>
    <n v="73"/>
    <x v="0"/>
  </r>
  <r>
    <s v="PO-00735"/>
    <s v="Delta_Logistics"/>
    <x v="146"/>
    <x v="436"/>
    <s v="Packaging"/>
    <s v="Cancelled"/>
    <n v="725"/>
    <n v="66.400000000000006"/>
    <n v="62.1"/>
    <n v="118"/>
    <x v="0"/>
  </r>
  <r>
    <s v="PO-00736"/>
    <s v="Alpha_Inc"/>
    <x v="463"/>
    <x v="106"/>
    <s v="Electronics"/>
    <s v="Delivered"/>
    <n v="1467"/>
    <n v="34.200000000000003"/>
    <n v="30.5"/>
    <n v="25"/>
    <x v="0"/>
  </r>
  <r>
    <s v="PO-00737"/>
    <s v="Beta_Supplies"/>
    <x v="345"/>
    <x v="437"/>
    <s v="Packaging"/>
    <s v="Delivered"/>
    <n v="1942"/>
    <n v="93.98"/>
    <n v="81.31"/>
    <n v="198"/>
    <x v="0"/>
  </r>
  <r>
    <s v="PO-00738"/>
    <s v="Gamma_Co"/>
    <x v="464"/>
    <x v="13"/>
    <s v="Office Supplies"/>
    <s v="Delivered"/>
    <n v="506"/>
    <n v="84.63"/>
    <n v="72.69"/>
    <n v="20"/>
    <x v="0"/>
  </r>
  <r>
    <s v="PO-00739"/>
    <s v="Alpha_Inc"/>
    <x v="23"/>
    <x v="201"/>
    <s v="MRO"/>
    <s v="Delivered"/>
    <n v="969"/>
    <n v="76.53"/>
    <n v="75.64"/>
    <n v="30"/>
    <x v="0"/>
  </r>
  <r>
    <s v="PO-00740"/>
    <s v="Delta_Logistics"/>
    <x v="160"/>
    <x v="438"/>
    <s v="MRO"/>
    <s v="Delivered"/>
    <n v="241"/>
    <n v="87.42"/>
    <n v="82.15"/>
    <m/>
    <x v="0"/>
  </r>
  <r>
    <s v="PO-00741"/>
    <s v="Gamma_Co"/>
    <x v="229"/>
    <x v="91"/>
    <s v="Raw Materials"/>
    <s v="Delivered"/>
    <n v="788"/>
    <n v="97.3"/>
    <n v="94.44"/>
    <n v="32"/>
    <x v="0"/>
  </r>
  <r>
    <s v="PO-00742"/>
    <s v="Gamma_Co"/>
    <x v="465"/>
    <x v="183"/>
    <s v="Office Supplies"/>
    <s v="Delivered"/>
    <n v="1762"/>
    <n v="74.12"/>
    <n v="65.709999999999994"/>
    <n v="94"/>
    <x v="0"/>
  </r>
  <r>
    <s v="PO-00743"/>
    <s v="Alpha_Inc"/>
    <x v="466"/>
    <x v="13"/>
    <s v="Raw Materials"/>
    <s v="Pending"/>
    <n v="1172"/>
    <n v="85.76"/>
    <n v="81.430000000000007"/>
    <n v="25"/>
    <x v="0"/>
  </r>
  <r>
    <s v="PO-00744"/>
    <s v="Delta_Logistics"/>
    <x v="180"/>
    <x v="439"/>
    <s v="Office Supplies"/>
    <s v="Delivered"/>
    <n v="1621"/>
    <n v="75.680000000000007"/>
    <n v="73.78"/>
    <n v="226"/>
    <x v="1"/>
  </r>
  <r>
    <s v="PO-00745"/>
    <s v="Alpha_Inc"/>
    <x v="343"/>
    <x v="440"/>
    <s v="Packaging"/>
    <s v="Delivered"/>
    <n v="1027"/>
    <n v="73.349999999999994"/>
    <n v="65.42"/>
    <n v="24"/>
    <x v="1"/>
  </r>
  <r>
    <s v="PO-00746"/>
    <s v="Beta_Supplies"/>
    <x v="440"/>
    <x v="13"/>
    <s v="Raw Materials"/>
    <s v="Delivered"/>
    <n v="1058"/>
    <n v="65.680000000000007"/>
    <n v="57.21"/>
    <n v="101"/>
    <x v="0"/>
  </r>
  <r>
    <s v="PO-00747"/>
    <s v="Beta_Supplies"/>
    <x v="279"/>
    <x v="132"/>
    <s v="Packaging"/>
    <s v="Delivered"/>
    <n v="145"/>
    <n v="85.52"/>
    <n v="81.86"/>
    <n v="11"/>
    <x v="1"/>
  </r>
  <r>
    <s v="PO-00748"/>
    <s v="Epsilon_Group"/>
    <x v="120"/>
    <x v="13"/>
    <s v="Office Supplies"/>
    <s v="Delivered"/>
    <n v="1737"/>
    <n v="24.88"/>
    <n v="24.28"/>
    <n v="46"/>
    <x v="0"/>
  </r>
  <r>
    <s v="PO-00749"/>
    <s v="Gamma_Co"/>
    <x v="272"/>
    <x v="245"/>
    <s v="Electronics"/>
    <s v="Delivered"/>
    <n v="712"/>
    <n v="92.85"/>
    <n v="89.39"/>
    <n v="43"/>
    <x v="0"/>
  </r>
  <r>
    <s v="PO-00750"/>
    <s v="Epsilon_Group"/>
    <x v="467"/>
    <x v="441"/>
    <s v="Electronics"/>
    <s v="Delivered"/>
    <n v="1263"/>
    <n v="90.24"/>
    <n v="86.84"/>
    <n v="28"/>
    <x v="0"/>
  </r>
  <r>
    <s v="PO-00751"/>
    <s v="Delta_Logistics"/>
    <x v="202"/>
    <x v="13"/>
    <s v="Electronics"/>
    <s v="Delivered"/>
    <n v="1809"/>
    <n v="13.58"/>
    <n v="12.68"/>
    <m/>
    <x v="1"/>
  </r>
  <r>
    <s v="PO-00752"/>
    <s v="Beta_Supplies"/>
    <x v="197"/>
    <x v="13"/>
    <s v="Electronics"/>
    <s v="Cancelled"/>
    <n v="86"/>
    <n v="93.6"/>
    <n v="88.22"/>
    <n v="5"/>
    <x v="0"/>
  </r>
  <r>
    <s v="PO-00753"/>
    <s v="Epsilon_Group"/>
    <x v="132"/>
    <x v="13"/>
    <s v="MRO"/>
    <s v="Delivered"/>
    <n v="1853"/>
    <n v="21.92"/>
    <n v="20.72"/>
    <m/>
    <x v="0"/>
  </r>
  <r>
    <s v="PO-00754"/>
    <s v="Beta_Supplies"/>
    <x v="452"/>
    <x v="303"/>
    <s v="Electronics"/>
    <s v="Delivered"/>
    <n v="1442"/>
    <n v="43.98"/>
    <n v="41.82"/>
    <n v="140"/>
    <x v="1"/>
  </r>
  <r>
    <s v="PO-00755"/>
    <s v="Beta_Supplies"/>
    <x v="16"/>
    <x v="81"/>
    <s v="Office Supplies"/>
    <s v="Pending"/>
    <n v="1768"/>
    <n v="79.61"/>
    <n v="74.97"/>
    <n v="207"/>
    <x v="1"/>
  </r>
  <r>
    <s v="PO-00756"/>
    <s v="Beta_Supplies"/>
    <x v="385"/>
    <x v="442"/>
    <s v="Electronics"/>
    <s v="Partially Delivered"/>
    <n v="1598"/>
    <n v="26.3"/>
    <n v="26.03"/>
    <n v="154"/>
    <x v="1"/>
  </r>
  <r>
    <s v="PO-00757"/>
    <s v="Alpha_Inc"/>
    <x v="468"/>
    <x v="443"/>
    <s v="MRO"/>
    <s v="Cancelled"/>
    <n v="328"/>
    <n v="93.23"/>
    <n v="82.63"/>
    <n v="6"/>
    <x v="0"/>
  </r>
  <r>
    <s v="PO-00758"/>
    <s v="Epsilon_Group"/>
    <x v="469"/>
    <x v="444"/>
    <s v="Packaging"/>
    <s v="Delivered"/>
    <n v="266"/>
    <n v="88.29"/>
    <n v="80.22"/>
    <n v="4"/>
    <x v="0"/>
  </r>
  <r>
    <s v="PO-00759"/>
    <s v="Gamma_Co"/>
    <x v="470"/>
    <x v="63"/>
    <s v="Raw Materials"/>
    <s v="Delivered"/>
    <n v="916"/>
    <n v="59.01"/>
    <n v="53.37"/>
    <n v="47"/>
    <x v="0"/>
  </r>
  <r>
    <s v="PO-00760"/>
    <s v="Epsilon_Group"/>
    <x v="471"/>
    <x v="271"/>
    <s v="Packaging"/>
    <s v="Cancelled"/>
    <n v="922"/>
    <n v="10.84"/>
    <n v="9.27"/>
    <n v="29"/>
    <x v="0"/>
  </r>
  <r>
    <s v="PO-00761"/>
    <s v="Gamma_Co"/>
    <x v="359"/>
    <x v="445"/>
    <s v="Packaging"/>
    <s v="Delivered"/>
    <n v="1871"/>
    <n v="39.42"/>
    <n v="37.409999999999997"/>
    <n v="101"/>
    <x v="1"/>
  </r>
  <r>
    <s v="PO-00762"/>
    <s v="Epsilon_Group"/>
    <x v="169"/>
    <x v="160"/>
    <s v="Raw Materials"/>
    <s v="Delivered"/>
    <n v="1346"/>
    <n v="72.08"/>
    <n v="67.040000000000006"/>
    <n v="38"/>
    <x v="0"/>
  </r>
  <r>
    <s v="PO-00763"/>
    <s v="Epsilon_Group"/>
    <x v="132"/>
    <x v="107"/>
    <s v="Electronics"/>
    <s v="Delivered"/>
    <n v="1954"/>
    <n v="99.78"/>
    <n v="87.47"/>
    <n v="57"/>
    <x v="0"/>
  </r>
  <r>
    <s v="PO-00764"/>
    <s v="Beta_Supplies"/>
    <x v="80"/>
    <x v="75"/>
    <s v="Electronics"/>
    <s v="Delivered"/>
    <n v="111"/>
    <n v="68.53"/>
    <n v="65.22"/>
    <n v="11"/>
    <x v="0"/>
  </r>
  <r>
    <s v="PO-00765"/>
    <s v="Gamma_Co"/>
    <x v="472"/>
    <x v="446"/>
    <s v="Office Supplies"/>
    <s v="Pending"/>
    <n v="645"/>
    <n v="35.049999999999997"/>
    <n v="30.88"/>
    <n v="27"/>
    <x v="0"/>
  </r>
  <r>
    <s v="PO-00766"/>
    <s v="Gamma_Co"/>
    <x v="338"/>
    <x v="447"/>
    <s v="Electronics"/>
    <s v="Cancelled"/>
    <n v="1953"/>
    <n v="68.069999999999993"/>
    <n v="62.95"/>
    <n v="87"/>
    <x v="0"/>
  </r>
  <r>
    <s v="PO-00767"/>
    <s v="Gamma_Co"/>
    <x v="262"/>
    <x v="448"/>
    <s v="Electronics"/>
    <s v="Delivered"/>
    <n v="778"/>
    <n v="64.17"/>
    <n v="61.6"/>
    <n v="47"/>
    <x v="0"/>
  </r>
  <r>
    <s v="PO-00768"/>
    <s v="Epsilon_Group"/>
    <x v="473"/>
    <x v="449"/>
    <s v="Office Supplies"/>
    <s v="Delivered"/>
    <n v="1415"/>
    <n v="80.19"/>
    <n v="78.34"/>
    <m/>
    <x v="0"/>
  </r>
  <r>
    <s v="PO-00769"/>
    <s v="Gamma_Co"/>
    <x v="174"/>
    <x v="446"/>
    <s v="Raw Materials"/>
    <s v="Delivered"/>
    <n v="446"/>
    <n v="20.61"/>
    <n v="19.46"/>
    <n v="14"/>
    <x v="0"/>
  </r>
  <r>
    <s v="PO-00770"/>
    <s v="Epsilon_Group"/>
    <x v="400"/>
    <x v="13"/>
    <s v="Office Supplies"/>
    <s v="Delivered"/>
    <n v="748"/>
    <n v="85.95"/>
    <n v="79.16"/>
    <n v="32"/>
    <x v="0"/>
  </r>
  <r>
    <s v="PO-00771"/>
    <s v="Alpha_Inc"/>
    <x v="374"/>
    <x v="260"/>
    <s v="Electronics"/>
    <s v="Pending"/>
    <n v="1092"/>
    <n v="65.17"/>
    <n v="63.11"/>
    <n v="21"/>
    <x v="0"/>
  </r>
  <r>
    <s v="PO-00772"/>
    <s v="Beta_Supplies"/>
    <x v="474"/>
    <x v="38"/>
    <s v="Electronics"/>
    <s v="Delivered"/>
    <n v="226"/>
    <n v="102.47"/>
    <n v="99.16"/>
    <n v="28"/>
    <x v="0"/>
  </r>
  <r>
    <s v="PO-00773"/>
    <s v="Delta_Logistics"/>
    <x v="475"/>
    <x v="382"/>
    <s v="Electronics"/>
    <s v="Delivered"/>
    <n v="1685"/>
    <n v="43.42"/>
    <n v="42.24"/>
    <n v="262"/>
    <x v="0"/>
  </r>
  <r>
    <s v="PO-00774"/>
    <s v="Alpha_Inc"/>
    <x v="22"/>
    <x v="13"/>
    <s v="Office Supplies"/>
    <s v="Delivered"/>
    <n v="445"/>
    <n v="68.94"/>
    <n v="60.35"/>
    <n v="7"/>
    <x v="0"/>
  </r>
  <r>
    <s v="PO-00775"/>
    <s v="Gamma_Co"/>
    <x v="225"/>
    <x v="216"/>
    <s v="Raw Materials"/>
    <s v="Delivered"/>
    <n v="494"/>
    <n v="94.82"/>
    <n v="81.89"/>
    <n v="29"/>
    <x v="0"/>
  </r>
  <r>
    <s v="PO-00776"/>
    <s v="Beta_Supplies"/>
    <x v="451"/>
    <x v="11"/>
    <s v="MRO"/>
    <s v="Delivered"/>
    <n v="1306"/>
    <n v="21.05"/>
    <n v="18.27"/>
    <n v="128"/>
    <x v="0"/>
  </r>
  <r>
    <s v="PO-00777"/>
    <s v="Beta_Supplies"/>
    <x v="319"/>
    <x v="345"/>
    <s v="Office Supplies"/>
    <s v="Delivered"/>
    <n v="1988"/>
    <n v="105.2"/>
    <n v="93.23"/>
    <n v="187"/>
    <x v="0"/>
  </r>
  <r>
    <m/>
    <m/>
    <x v="476"/>
    <x v="13"/>
    <m/>
    <m/>
    <m/>
    <m/>
    <m/>
    <m/>
    <x v="2"/>
  </r>
  <r>
    <m/>
    <m/>
    <x v="476"/>
    <x v="13"/>
    <m/>
    <m/>
    <m/>
    <m/>
    <m/>
    <m/>
    <x v="2"/>
  </r>
  <r>
    <m/>
    <m/>
    <x v="476"/>
    <x v="13"/>
    <m/>
    <m/>
    <m/>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775755-FC8E-4FCA-A55E-AD657F848270}" name="PivotTable5"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8:A9" firstHeaderRow="1" firstDataRow="1" firstDataCol="0"/>
  <pivotFields count="18">
    <pivotField showAll="0"/>
    <pivotField showAll="0"/>
    <pivotField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items count="451">
        <item x="295"/>
        <item x="361"/>
        <item x="127"/>
        <item x="179"/>
        <item x="384"/>
        <item x="29"/>
        <item x="117"/>
        <item x="279"/>
        <item x="224"/>
        <item x="298"/>
        <item x="215"/>
        <item x="174"/>
        <item x="417"/>
        <item x="145"/>
        <item x="314"/>
        <item x="433"/>
        <item x="449"/>
        <item x="20"/>
        <item x="183"/>
        <item x="426"/>
        <item x="2"/>
        <item x="14"/>
        <item x="83"/>
        <item x="306"/>
        <item x="319"/>
        <item x="106"/>
        <item x="54"/>
        <item x="43"/>
        <item x="223"/>
        <item x="147"/>
        <item x="87"/>
        <item x="213"/>
        <item x="172"/>
        <item x="53"/>
        <item x="203"/>
        <item x="152"/>
        <item x="438"/>
        <item x="328"/>
        <item x="180"/>
        <item x="270"/>
        <item x="45"/>
        <item x="378"/>
        <item x="71"/>
        <item x="299"/>
        <item x="149"/>
        <item x="264"/>
        <item x="150"/>
        <item x="216"/>
        <item x="57"/>
        <item x="37"/>
        <item x="10"/>
        <item x="212"/>
        <item x="39"/>
        <item x="202"/>
        <item x="15"/>
        <item x="58"/>
        <item x="284"/>
        <item x="131"/>
        <item x="204"/>
        <item x="36"/>
        <item x="7"/>
        <item x="122"/>
        <item x="447"/>
        <item x="1"/>
        <item x="389"/>
        <item x="247"/>
        <item x="336"/>
        <item x="107"/>
        <item x="350"/>
        <item x="340"/>
        <item x="118"/>
        <item x="333"/>
        <item x="170"/>
        <item x="441"/>
        <item x="259"/>
        <item x="155"/>
        <item x="154"/>
        <item x="282"/>
        <item x="391"/>
        <item x="188"/>
        <item x="95"/>
        <item x="268"/>
        <item x="409"/>
        <item x="6"/>
        <item x="376"/>
        <item x="137"/>
        <item x="304"/>
        <item x="301"/>
        <item x="110"/>
        <item x="241"/>
        <item x="410"/>
        <item x="233"/>
        <item x="159"/>
        <item x="125"/>
        <item x="271"/>
        <item x="108"/>
        <item x="35"/>
        <item x="139"/>
        <item x="30"/>
        <item x="75"/>
        <item x="73"/>
        <item x="358"/>
        <item x="243"/>
        <item x="129"/>
        <item x="315"/>
        <item x="356"/>
        <item x="205"/>
        <item x="324"/>
        <item x="440"/>
        <item x="342"/>
        <item x="136"/>
        <item x="194"/>
        <item x="379"/>
        <item x="51"/>
        <item x="234"/>
        <item x="289"/>
        <item x="22"/>
        <item x="375"/>
        <item x="221"/>
        <item x="255"/>
        <item x="308"/>
        <item x="90"/>
        <item x="423"/>
        <item x="414"/>
        <item x="363"/>
        <item x="266"/>
        <item x="26"/>
        <item x="88"/>
        <item x="56"/>
        <item x="187"/>
        <item x="177"/>
        <item x="178"/>
        <item x="5"/>
        <item x="323"/>
        <item x="16"/>
        <item x="81"/>
        <item x="312"/>
        <item x="17"/>
        <item x="408"/>
        <item x="146"/>
        <item x="406"/>
        <item x="217"/>
        <item x="185"/>
        <item x="245"/>
        <item x="293"/>
        <item x="171"/>
        <item x="4"/>
        <item x="96"/>
        <item x="116"/>
        <item x="192"/>
        <item x="444"/>
        <item x="402"/>
        <item x="377"/>
        <item x="439"/>
        <item x="258"/>
        <item x="388"/>
        <item x="283"/>
        <item x="67"/>
        <item x="128"/>
        <item x="267"/>
        <item x="401"/>
        <item x="78"/>
        <item x="120"/>
        <item x="254"/>
        <item x="94"/>
        <item x="42"/>
        <item x="99"/>
        <item x="327"/>
        <item x="316"/>
        <item x="335"/>
        <item x="425"/>
        <item x="285"/>
        <item x="86"/>
        <item x="208"/>
        <item x="407"/>
        <item x="28"/>
        <item x="3"/>
        <item x="47"/>
        <item x="34"/>
        <item x="60"/>
        <item x="286"/>
        <item x="227"/>
        <item x="419"/>
        <item x="281"/>
        <item x="362"/>
        <item x="261"/>
        <item x="123"/>
        <item x="235"/>
        <item x="355"/>
        <item x="275"/>
        <item x="338"/>
        <item x="164"/>
        <item x="133"/>
        <item x="446"/>
        <item x="322"/>
        <item x="263"/>
        <item x="257"/>
        <item x="143"/>
        <item x="238"/>
        <item x="326"/>
        <item x="367"/>
        <item x="84"/>
        <item x="348"/>
        <item x="82"/>
        <item x="413"/>
        <item x="173"/>
        <item x="296"/>
        <item x="184"/>
        <item x="288"/>
        <item x="33"/>
        <item x="332"/>
        <item x="337"/>
        <item x="269"/>
        <item x="418"/>
        <item x="435"/>
        <item x="65"/>
        <item x="307"/>
        <item x="321"/>
        <item x="437"/>
        <item x="196"/>
        <item x="310"/>
        <item x="40"/>
        <item x="49"/>
        <item x="103"/>
        <item x="138"/>
        <item x="63"/>
        <item x="434"/>
        <item x="167"/>
        <item x="38"/>
        <item x="357"/>
        <item x="64"/>
        <item x="225"/>
        <item x="59"/>
        <item x="114"/>
        <item x="77"/>
        <item x="318"/>
        <item x="102"/>
        <item x="330"/>
        <item x="325"/>
        <item x="382"/>
        <item x="428"/>
        <item x="218"/>
        <item x="353"/>
        <item x="193"/>
        <item x="222"/>
        <item x="85"/>
        <item x="198"/>
        <item x="165"/>
        <item x="412"/>
        <item x="246"/>
        <item x="420"/>
        <item x="352"/>
        <item x="112"/>
        <item x="313"/>
        <item x="385"/>
        <item x="251"/>
        <item x="32"/>
        <item x="197"/>
        <item x="364"/>
        <item x="346"/>
        <item x="161"/>
        <item x="396"/>
        <item x="228"/>
        <item x="12"/>
        <item x="415"/>
        <item x="207"/>
        <item x="339"/>
        <item x="305"/>
        <item x="394"/>
        <item x="210"/>
        <item x="272"/>
        <item x="124"/>
        <item x="400"/>
        <item x="168"/>
        <item x="398"/>
        <item x="368"/>
        <item x="262"/>
        <item x="126"/>
        <item x="27"/>
        <item x="320"/>
        <item x="209"/>
        <item x="226"/>
        <item x="76"/>
        <item x="61"/>
        <item x="265"/>
        <item x="93"/>
        <item x="390"/>
        <item x="442"/>
        <item x="392"/>
        <item x="199"/>
        <item x="387"/>
        <item x="370"/>
        <item x="399"/>
        <item x="219"/>
        <item x="157"/>
        <item x="405"/>
        <item x="191"/>
        <item x="424"/>
        <item x="220"/>
        <item x="105"/>
        <item x="144"/>
        <item x="186"/>
        <item x="151"/>
        <item x="232"/>
        <item x="292"/>
        <item x="18"/>
        <item x="351"/>
        <item x="381"/>
        <item x="92"/>
        <item x="395"/>
        <item x="369"/>
        <item x="239"/>
        <item x="169"/>
        <item x="130"/>
        <item x="135"/>
        <item x="386"/>
        <item x="104"/>
        <item x="242"/>
        <item x="344"/>
        <item x="278"/>
        <item x="240"/>
        <item x="404"/>
        <item x="153"/>
        <item x="119"/>
        <item x="430"/>
        <item x="206"/>
        <item x="74"/>
        <item x="331"/>
        <item x="44"/>
        <item x="421"/>
        <item x="141"/>
        <item x="237"/>
        <item x="140"/>
        <item x="98"/>
        <item x="162"/>
        <item x="273"/>
        <item x="436"/>
        <item x="25"/>
        <item x="9"/>
        <item x="211"/>
        <item x="397"/>
        <item x="280"/>
        <item x="230"/>
        <item x="297"/>
        <item x="158"/>
        <item x="303"/>
        <item x="176"/>
        <item x="80"/>
        <item x="89"/>
        <item x="148"/>
        <item x="46"/>
        <item x="432"/>
        <item x="311"/>
        <item x="21"/>
        <item x="97"/>
        <item x="50"/>
        <item x="360"/>
        <item x="189"/>
        <item x="253"/>
        <item x="190"/>
        <item x="302"/>
        <item x="100"/>
        <item x="252"/>
        <item x="365"/>
        <item x="248"/>
        <item x="341"/>
        <item x="334"/>
        <item x="448"/>
        <item x="101"/>
        <item x="236"/>
        <item x="113"/>
        <item x="431"/>
        <item x="175"/>
        <item x="11"/>
        <item x="393"/>
        <item x="41"/>
        <item x="115"/>
        <item x="160"/>
        <item x="249"/>
        <item x="142"/>
        <item x="276"/>
        <item x="19"/>
        <item x="359"/>
        <item x="445"/>
        <item x="422"/>
        <item x="48"/>
        <item x="287"/>
        <item x="366"/>
        <item x="132"/>
        <item x="250"/>
        <item x="109"/>
        <item x="349"/>
        <item x="429"/>
        <item x="294"/>
        <item x="182"/>
        <item x="403"/>
        <item x="134"/>
        <item x="72"/>
        <item x="329"/>
        <item x="0"/>
        <item x="373"/>
        <item x="62"/>
        <item x="291"/>
        <item x="23"/>
        <item x="214"/>
        <item x="200"/>
        <item x="121"/>
        <item x="195"/>
        <item x="91"/>
        <item x="70"/>
        <item x="55"/>
        <item x="201"/>
        <item x="371"/>
        <item x="372"/>
        <item x="231"/>
        <item x="347"/>
        <item x="277"/>
        <item x="256"/>
        <item x="66"/>
        <item x="156"/>
        <item x="8"/>
        <item x="166"/>
        <item x="374"/>
        <item x="111"/>
        <item x="260"/>
        <item x="309"/>
        <item x="244"/>
        <item x="427"/>
        <item x="69"/>
        <item x="79"/>
        <item x="345"/>
        <item x="383"/>
        <item x="31"/>
        <item x="229"/>
        <item x="163"/>
        <item x="290"/>
        <item x="68"/>
        <item x="416"/>
        <item x="343"/>
        <item x="300"/>
        <item x="380"/>
        <item x="354"/>
        <item x="24"/>
        <item x="52"/>
        <item x="181"/>
        <item x="443"/>
        <item x="317"/>
        <item x="274"/>
        <item x="411"/>
        <item x="13"/>
        <item t="default"/>
      </items>
    </pivotField>
    <pivotField showAll="0">
      <items count="6">
        <item x="4"/>
        <item x="1"/>
        <item x="0"/>
        <item x="2"/>
        <item x="3"/>
        <item t="default"/>
      </items>
    </pivotField>
    <pivotField showAll="0"/>
    <pivotField dataField="1" showAll="0"/>
    <pivotField showAll="0"/>
    <pivotField showAll="0"/>
    <pivotField showAll="0"/>
    <pivotField showAll="0"/>
    <pivotField showAll="0"/>
    <pivotField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Quantity" fld="6" baseField="0" baseItem="0" numFmtId="165"/>
  </dataFields>
  <formats count="1">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1BFAB2-51CA-491E-8216-74389BBA3C52}" name="PivotTable8"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8">
  <location ref="L18:M23" firstHeaderRow="1" firstDataRow="1" firstDataCol="1"/>
  <pivotFields count="18">
    <pivotField showAll="0"/>
    <pivotField showAll="0"/>
    <pivotField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items count="451">
        <item x="295"/>
        <item x="361"/>
        <item x="127"/>
        <item x="179"/>
        <item x="384"/>
        <item x="29"/>
        <item x="117"/>
        <item x="279"/>
        <item x="224"/>
        <item x="298"/>
        <item x="215"/>
        <item x="174"/>
        <item x="417"/>
        <item x="145"/>
        <item x="314"/>
        <item x="433"/>
        <item x="449"/>
        <item x="20"/>
        <item x="183"/>
        <item x="426"/>
        <item x="2"/>
        <item x="14"/>
        <item x="83"/>
        <item x="306"/>
        <item x="319"/>
        <item x="106"/>
        <item x="54"/>
        <item x="43"/>
        <item x="223"/>
        <item x="147"/>
        <item x="87"/>
        <item x="213"/>
        <item x="172"/>
        <item x="53"/>
        <item x="203"/>
        <item x="152"/>
        <item x="438"/>
        <item x="328"/>
        <item x="180"/>
        <item x="270"/>
        <item x="45"/>
        <item x="378"/>
        <item x="71"/>
        <item x="299"/>
        <item x="149"/>
        <item x="264"/>
        <item x="150"/>
        <item x="216"/>
        <item x="57"/>
        <item x="37"/>
        <item x="10"/>
        <item x="212"/>
        <item x="39"/>
        <item x="202"/>
        <item x="15"/>
        <item x="58"/>
        <item x="284"/>
        <item x="131"/>
        <item x="204"/>
        <item x="36"/>
        <item x="7"/>
        <item x="122"/>
        <item x="447"/>
        <item x="1"/>
        <item x="389"/>
        <item x="247"/>
        <item x="336"/>
        <item x="107"/>
        <item x="350"/>
        <item x="340"/>
        <item x="118"/>
        <item x="333"/>
        <item x="170"/>
        <item x="441"/>
        <item x="259"/>
        <item x="155"/>
        <item x="154"/>
        <item x="282"/>
        <item x="391"/>
        <item x="188"/>
        <item x="95"/>
        <item x="268"/>
        <item x="409"/>
        <item x="6"/>
        <item x="376"/>
        <item x="137"/>
        <item x="304"/>
        <item x="301"/>
        <item x="110"/>
        <item x="241"/>
        <item x="410"/>
        <item x="233"/>
        <item x="159"/>
        <item x="125"/>
        <item x="271"/>
        <item x="108"/>
        <item x="35"/>
        <item x="139"/>
        <item x="30"/>
        <item x="75"/>
        <item x="73"/>
        <item x="358"/>
        <item x="243"/>
        <item x="129"/>
        <item x="315"/>
        <item x="356"/>
        <item x="205"/>
        <item x="324"/>
        <item x="440"/>
        <item x="342"/>
        <item x="136"/>
        <item x="194"/>
        <item x="379"/>
        <item x="51"/>
        <item x="234"/>
        <item x="289"/>
        <item x="22"/>
        <item x="375"/>
        <item x="221"/>
        <item x="255"/>
        <item x="308"/>
        <item x="90"/>
        <item x="423"/>
        <item x="414"/>
        <item x="363"/>
        <item x="266"/>
        <item x="26"/>
        <item x="88"/>
        <item x="56"/>
        <item x="187"/>
        <item x="177"/>
        <item x="178"/>
        <item x="5"/>
        <item x="323"/>
        <item x="16"/>
        <item x="81"/>
        <item x="312"/>
        <item x="17"/>
        <item x="408"/>
        <item x="146"/>
        <item x="406"/>
        <item x="217"/>
        <item x="185"/>
        <item x="245"/>
        <item x="293"/>
        <item x="171"/>
        <item x="4"/>
        <item x="96"/>
        <item x="116"/>
        <item x="192"/>
        <item x="444"/>
        <item x="402"/>
        <item x="377"/>
        <item x="439"/>
        <item x="258"/>
        <item x="388"/>
        <item x="283"/>
        <item x="67"/>
        <item x="128"/>
        <item x="267"/>
        <item x="401"/>
        <item x="78"/>
        <item x="120"/>
        <item x="254"/>
        <item x="94"/>
        <item x="42"/>
        <item x="99"/>
        <item x="327"/>
        <item x="316"/>
        <item x="335"/>
        <item x="425"/>
        <item x="285"/>
        <item x="86"/>
        <item x="208"/>
        <item x="407"/>
        <item x="28"/>
        <item x="3"/>
        <item x="47"/>
        <item x="34"/>
        <item x="60"/>
        <item x="286"/>
        <item x="227"/>
        <item x="419"/>
        <item x="281"/>
        <item x="362"/>
        <item x="261"/>
        <item x="123"/>
        <item x="235"/>
        <item x="355"/>
        <item x="275"/>
        <item x="338"/>
        <item x="164"/>
        <item x="133"/>
        <item x="446"/>
        <item x="322"/>
        <item x="263"/>
        <item x="257"/>
        <item x="143"/>
        <item x="238"/>
        <item x="326"/>
        <item x="367"/>
        <item x="84"/>
        <item x="348"/>
        <item x="82"/>
        <item x="413"/>
        <item x="173"/>
        <item x="296"/>
        <item x="184"/>
        <item x="288"/>
        <item x="33"/>
        <item x="332"/>
        <item x="337"/>
        <item x="269"/>
        <item x="418"/>
        <item x="435"/>
        <item x="65"/>
        <item x="307"/>
        <item x="321"/>
        <item x="437"/>
        <item x="196"/>
        <item x="310"/>
        <item x="40"/>
        <item x="49"/>
        <item x="103"/>
        <item x="138"/>
        <item x="63"/>
        <item x="434"/>
        <item x="167"/>
        <item x="38"/>
        <item x="357"/>
        <item x="64"/>
        <item x="225"/>
        <item x="59"/>
        <item x="114"/>
        <item x="77"/>
        <item x="318"/>
        <item x="102"/>
        <item x="330"/>
        <item x="325"/>
        <item x="382"/>
        <item x="428"/>
        <item x="218"/>
        <item x="353"/>
        <item x="193"/>
        <item x="222"/>
        <item x="85"/>
        <item x="198"/>
        <item x="165"/>
        <item x="412"/>
        <item x="246"/>
        <item x="420"/>
        <item x="352"/>
        <item x="112"/>
        <item x="313"/>
        <item x="385"/>
        <item x="251"/>
        <item x="32"/>
        <item x="197"/>
        <item x="364"/>
        <item x="346"/>
        <item x="161"/>
        <item x="396"/>
        <item x="228"/>
        <item x="12"/>
        <item x="415"/>
        <item x="207"/>
        <item x="339"/>
        <item x="305"/>
        <item x="394"/>
        <item x="210"/>
        <item x="272"/>
        <item x="124"/>
        <item x="400"/>
        <item x="168"/>
        <item x="398"/>
        <item x="368"/>
        <item x="262"/>
        <item x="126"/>
        <item x="27"/>
        <item x="320"/>
        <item x="209"/>
        <item x="226"/>
        <item x="76"/>
        <item x="61"/>
        <item x="265"/>
        <item x="93"/>
        <item x="390"/>
        <item x="442"/>
        <item x="392"/>
        <item x="199"/>
        <item x="387"/>
        <item x="370"/>
        <item x="399"/>
        <item x="219"/>
        <item x="157"/>
        <item x="405"/>
        <item x="191"/>
        <item x="424"/>
        <item x="220"/>
        <item x="105"/>
        <item x="144"/>
        <item x="186"/>
        <item x="151"/>
        <item x="232"/>
        <item x="292"/>
        <item x="18"/>
        <item x="351"/>
        <item x="381"/>
        <item x="92"/>
        <item x="395"/>
        <item x="369"/>
        <item x="239"/>
        <item x="169"/>
        <item x="130"/>
        <item x="135"/>
        <item x="386"/>
        <item x="104"/>
        <item x="242"/>
        <item x="344"/>
        <item x="278"/>
        <item x="240"/>
        <item x="404"/>
        <item x="153"/>
        <item x="119"/>
        <item x="430"/>
        <item x="206"/>
        <item x="74"/>
        <item x="331"/>
        <item x="44"/>
        <item x="421"/>
        <item x="141"/>
        <item x="237"/>
        <item x="140"/>
        <item x="98"/>
        <item x="162"/>
        <item x="273"/>
        <item x="436"/>
        <item x="25"/>
        <item x="9"/>
        <item x="211"/>
        <item x="397"/>
        <item x="280"/>
        <item x="230"/>
        <item x="297"/>
        <item x="158"/>
        <item x="303"/>
        <item x="176"/>
        <item x="80"/>
        <item x="89"/>
        <item x="148"/>
        <item x="46"/>
        <item x="432"/>
        <item x="311"/>
        <item x="21"/>
        <item x="97"/>
        <item x="50"/>
        <item x="360"/>
        <item x="189"/>
        <item x="253"/>
        <item x="190"/>
        <item x="302"/>
        <item x="100"/>
        <item x="252"/>
        <item x="365"/>
        <item x="248"/>
        <item x="341"/>
        <item x="334"/>
        <item x="448"/>
        <item x="101"/>
        <item x="236"/>
        <item x="113"/>
        <item x="431"/>
        <item x="175"/>
        <item x="11"/>
        <item x="393"/>
        <item x="41"/>
        <item x="115"/>
        <item x="160"/>
        <item x="249"/>
        <item x="142"/>
        <item x="276"/>
        <item x="19"/>
        <item x="359"/>
        <item x="445"/>
        <item x="422"/>
        <item x="48"/>
        <item x="287"/>
        <item x="366"/>
        <item x="132"/>
        <item x="250"/>
        <item x="109"/>
        <item x="349"/>
        <item x="429"/>
        <item x="294"/>
        <item x="182"/>
        <item x="403"/>
        <item x="134"/>
        <item x="72"/>
        <item x="329"/>
        <item x="0"/>
        <item x="373"/>
        <item x="62"/>
        <item x="291"/>
        <item x="23"/>
        <item x="214"/>
        <item x="200"/>
        <item x="121"/>
        <item x="195"/>
        <item x="91"/>
        <item x="70"/>
        <item x="55"/>
        <item x="201"/>
        <item x="371"/>
        <item x="372"/>
        <item x="231"/>
        <item x="347"/>
        <item x="277"/>
        <item x="256"/>
        <item x="66"/>
        <item x="156"/>
        <item x="8"/>
        <item x="166"/>
        <item x="374"/>
        <item x="111"/>
        <item x="260"/>
        <item x="309"/>
        <item x="244"/>
        <item x="427"/>
        <item x="69"/>
        <item x="79"/>
        <item x="345"/>
        <item x="383"/>
        <item x="31"/>
        <item x="229"/>
        <item x="163"/>
        <item x="290"/>
        <item x="68"/>
        <item x="416"/>
        <item x="343"/>
        <item x="300"/>
        <item x="380"/>
        <item x="354"/>
        <item x="24"/>
        <item x="52"/>
        <item x="181"/>
        <item x="443"/>
        <item x="317"/>
        <item x="274"/>
        <item x="411"/>
        <item x="13"/>
        <item t="default"/>
      </items>
    </pivotField>
    <pivotField showAll="0">
      <items count="6">
        <item x="4"/>
        <item x="1"/>
        <item x="0"/>
        <item x="2"/>
        <item x="3"/>
        <item t="default"/>
      </items>
    </pivotField>
    <pivotField axis="axisRow" showAll="0" sortType="ascending">
      <items count="5">
        <item x="0"/>
        <item x="1"/>
        <item x="2"/>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5">
    <i>
      <x/>
    </i>
    <i>
      <x v="2"/>
    </i>
    <i>
      <x v="3"/>
    </i>
    <i>
      <x v="1"/>
    </i>
    <i t="grand">
      <x/>
    </i>
  </rowItems>
  <colItems count="1">
    <i/>
  </colItems>
  <dataFields count="1">
    <dataField name="Sum of Quantity"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F62C94-1A60-42F1-B900-0847E0B77693}" name="PivotTable1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0">
  <location ref="W3:Z9" firstHeaderRow="0" firstDataRow="1" firstDataCol="1"/>
  <pivotFields count="18">
    <pivotField showAll="0"/>
    <pivotField axis="axisRow" showAll="0">
      <items count="6">
        <item x="0"/>
        <item x="3"/>
        <item x="1"/>
        <item x="4"/>
        <item x="2"/>
        <item t="default"/>
      </items>
    </pivotField>
    <pivotField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items count="451">
        <item x="295"/>
        <item x="361"/>
        <item x="127"/>
        <item x="179"/>
        <item x="384"/>
        <item x="29"/>
        <item x="117"/>
        <item x="279"/>
        <item x="224"/>
        <item x="298"/>
        <item x="215"/>
        <item x="174"/>
        <item x="417"/>
        <item x="145"/>
        <item x="314"/>
        <item x="433"/>
        <item x="449"/>
        <item x="20"/>
        <item x="183"/>
        <item x="426"/>
        <item x="2"/>
        <item x="14"/>
        <item x="83"/>
        <item x="306"/>
        <item x="319"/>
        <item x="106"/>
        <item x="54"/>
        <item x="43"/>
        <item x="223"/>
        <item x="147"/>
        <item x="87"/>
        <item x="213"/>
        <item x="172"/>
        <item x="53"/>
        <item x="203"/>
        <item x="152"/>
        <item x="438"/>
        <item x="328"/>
        <item x="180"/>
        <item x="270"/>
        <item x="45"/>
        <item x="378"/>
        <item x="71"/>
        <item x="299"/>
        <item x="149"/>
        <item x="264"/>
        <item x="150"/>
        <item x="216"/>
        <item x="57"/>
        <item x="37"/>
        <item x="10"/>
        <item x="212"/>
        <item x="39"/>
        <item x="202"/>
        <item x="15"/>
        <item x="58"/>
        <item x="284"/>
        <item x="131"/>
        <item x="204"/>
        <item x="36"/>
        <item x="7"/>
        <item x="122"/>
        <item x="447"/>
        <item x="1"/>
        <item x="389"/>
        <item x="247"/>
        <item x="336"/>
        <item x="107"/>
        <item x="350"/>
        <item x="340"/>
        <item x="118"/>
        <item x="333"/>
        <item x="170"/>
        <item x="441"/>
        <item x="259"/>
        <item x="155"/>
        <item x="154"/>
        <item x="282"/>
        <item x="391"/>
        <item x="188"/>
        <item x="95"/>
        <item x="268"/>
        <item x="409"/>
        <item x="6"/>
        <item x="376"/>
        <item x="137"/>
        <item x="304"/>
        <item x="301"/>
        <item x="110"/>
        <item x="241"/>
        <item x="410"/>
        <item x="233"/>
        <item x="159"/>
        <item x="125"/>
        <item x="271"/>
        <item x="108"/>
        <item x="35"/>
        <item x="139"/>
        <item x="30"/>
        <item x="75"/>
        <item x="73"/>
        <item x="358"/>
        <item x="243"/>
        <item x="129"/>
        <item x="315"/>
        <item x="356"/>
        <item x="205"/>
        <item x="324"/>
        <item x="440"/>
        <item x="342"/>
        <item x="136"/>
        <item x="194"/>
        <item x="379"/>
        <item x="51"/>
        <item x="234"/>
        <item x="289"/>
        <item x="22"/>
        <item x="375"/>
        <item x="221"/>
        <item x="255"/>
        <item x="308"/>
        <item x="90"/>
        <item x="423"/>
        <item x="414"/>
        <item x="363"/>
        <item x="266"/>
        <item x="26"/>
        <item x="88"/>
        <item x="56"/>
        <item x="187"/>
        <item x="177"/>
        <item x="178"/>
        <item x="5"/>
        <item x="323"/>
        <item x="16"/>
        <item x="81"/>
        <item x="312"/>
        <item x="17"/>
        <item x="408"/>
        <item x="146"/>
        <item x="406"/>
        <item x="217"/>
        <item x="185"/>
        <item x="245"/>
        <item x="293"/>
        <item x="171"/>
        <item x="4"/>
        <item x="96"/>
        <item x="116"/>
        <item x="192"/>
        <item x="444"/>
        <item x="402"/>
        <item x="377"/>
        <item x="439"/>
        <item x="258"/>
        <item x="388"/>
        <item x="283"/>
        <item x="67"/>
        <item x="128"/>
        <item x="267"/>
        <item x="401"/>
        <item x="78"/>
        <item x="120"/>
        <item x="254"/>
        <item x="94"/>
        <item x="42"/>
        <item x="99"/>
        <item x="327"/>
        <item x="316"/>
        <item x="335"/>
        <item x="425"/>
        <item x="285"/>
        <item x="86"/>
        <item x="208"/>
        <item x="407"/>
        <item x="28"/>
        <item x="3"/>
        <item x="47"/>
        <item x="34"/>
        <item x="60"/>
        <item x="286"/>
        <item x="227"/>
        <item x="419"/>
        <item x="281"/>
        <item x="362"/>
        <item x="261"/>
        <item x="123"/>
        <item x="235"/>
        <item x="355"/>
        <item x="275"/>
        <item x="338"/>
        <item x="164"/>
        <item x="133"/>
        <item x="446"/>
        <item x="322"/>
        <item x="263"/>
        <item x="257"/>
        <item x="143"/>
        <item x="238"/>
        <item x="326"/>
        <item x="367"/>
        <item x="84"/>
        <item x="348"/>
        <item x="82"/>
        <item x="413"/>
        <item x="173"/>
        <item x="296"/>
        <item x="184"/>
        <item x="288"/>
        <item x="33"/>
        <item x="332"/>
        <item x="337"/>
        <item x="269"/>
        <item x="418"/>
        <item x="435"/>
        <item x="65"/>
        <item x="307"/>
        <item x="321"/>
        <item x="437"/>
        <item x="196"/>
        <item x="310"/>
        <item x="40"/>
        <item x="49"/>
        <item x="103"/>
        <item x="138"/>
        <item x="63"/>
        <item x="434"/>
        <item x="167"/>
        <item x="38"/>
        <item x="357"/>
        <item x="64"/>
        <item x="225"/>
        <item x="59"/>
        <item x="114"/>
        <item x="77"/>
        <item x="318"/>
        <item x="102"/>
        <item x="330"/>
        <item x="325"/>
        <item x="382"/>
        <item x="428"/>
        <item x="218"/>
        <item x="353"/>
        <item x="193"/>
        <item x="222"/>
        <item x="85"/>
        <item x="198"/>
        <item x="165"/>
        <item x="412"/>
        <item x="246"/>
        <item x="420"/>
        <item x="352"/>
        <item x="112"/>
        <item x="313"/>
        <item x="385"/>
        <item x="251"/>
        <item x="32"/>
        <item x="197"/>
        <item x="364"/>
        <item x="346"/>
        <item x="161"/>
        <item x="396"/>
        <item x="228"/>
        <item x="12"/>
        <item x="415"/>
        <item x="207"/>
        <item x="339"/>
        <item x="305"/>
        <item x="394"/>
        <item x="210"/>
        <item x="272"/>
        <item x="124"/>
        <item x="400"/>
        <item x="168"/>
        <item x="398"/>
        <item x="368"/>
        <item x="262"/>
        <item x="126"/>
        <item x="27"/>
        <item x="320"/>
        <item x="209"/>
        <item x="226"/>
        <item x="76"/>
        <item x="61"/>
        <item x="265"/>
        <item x="93"/>
        <item x="390"/>
        <item x="442"/>
        <item x="392"/>
        <item x="199"/>
        <item x="387"/>
        <item x="370"/>
        <item x="399"/>
        <item x="219"/>
        <item x="157"/>
        <item x="405"/>
        <item x="191"/>
        <item x="424"/>
        <item x="220"/>
        <item x="105"/>
        <item x="144"/>
        <item x="186"/>
        <item x="151"/>
        <item x="232"/>
        <item x="292"/>
        <item x="18"/>
        <item x="351"/>
        <item x="381"/>
        <item x="92"/>
        <item x="395"/>
        <item x="369"/>
        <item x="239"/>
        <item x="169"/>
        <item x="130"/>
        <item x="135"/>
        <item x="386"/>
        <item x="104"/>
        <item x="242"/>
        <item x="344"/>
        <item x="278"/>
        <item x="240"/>
        <item x="404"/>
        <item x="153"/>
        <item x="119"/>
        <item x="430"/>
        <item x="206"/>
        <item x="74"/>
        <item x="331"/>
        <item x="44"/>
        <item x="421"/>
        <item x="141"/>
        <item x="237"/>
        <item x="140"/>
        <item x="98"/>
        <item x="162"/>
        <item x="273"/>
        <item x="436"/>
        <item x="25"/>
        <item x="9"/>
        <item x="211"/>
        <item x="397"/>
        <item x="280"/>
        <item x="230"/>
        <item x="297"/>
        <item x="158"/>
        <item x="303"/>
        <item x="176"/>
        <item x="80"/>
        <item x="89"/>
        <item x="148"/>
        <item x="46"/>
        <item x="432"/>
        <item x="311"/>
        <item x="21"/>
        <item x="97"/>
        <item x="50"/>
        <item x="360"/>
        <item x="189"/>
        <item x="253"/>
        <item x="190"/>
        <item x="302"/>
        <item x="100"/>
        <item x="252"/>
        <item x="365"/>
        <item x="248"/>
        <item x="341"/>
        <item x="334"/>
        <item x="448"/>
        <item x="101"/>
        <item x="236"/>
        <item x="113"/>
        <item x="431"/>
        <item x="175"/>
        <item x="11"/>
        <item x="393"/>
        <item x="41"/>
        <item x="115"/>
        <item x="160"/>
        <item x="249"/>
        <item x="142"/>
        <item x="276"/>
        <item x="19"/>
        <item x="359"/>
        <item x="445"/>
        <item x="422"/>
        <item x="48"/>
        <item x="287"/>
        <item x="366"/>
        <item x="132"/>
        <item x="250"/>
        <item x="109"/>
        <item x="349"/>
        <item x="429"/>
        <item x="294"/>
        <item x="182"/>
        <item x="403"/>
        <item x="134"/>
        <item x="72"/>
        <item x="329"/>
        <item x="0"/>
        <item x="373"/>
        <item x="62"/>
        <item x="291"/>
        <item x="23"/>
        <item x="214"/>
        <item x="200"/>
        <item x="121"/>
        <item x="195"/>
        <item x="91"/>
        <item x="70"/>
        <item x="55"/>
        <item x="201"/>
        <item x="371"/>
        <item x="372"/>
        <item x="231"/>
        <item x="347"/>
        <item x="277"/>
        <item x="256"/>
        <item x="66"/>
        <item x="156"/>
        <item x="8"/>
        <item x="166"/>
        <item x="374"/>
        <item x="111"/>
        <item x="260"/>
        <item x="309"/>
        <item x="244"/>
        <item x="427"/>
        <item x="69"/>
        <item x="79"/>
        <item x="345"/>
        <item x="383"/>
        <item x="31"/>
        <item x="229"/>
        <item x="163"/>
        <item x="290"/>
        <item x="68"/>
        <item x="416"/>
        <item x="343"/>
        <item x="300"/>
        <item x="380"/>
        <item x="354"/>
        <item x="24"/>
        <item x="52"/>
        <item x="181"/>
        <item x="443"/>
        <item x="317"/>
        <item x="274"/>
        <item x="411"/>
        <item x="13"/>
        <item t="default"/>
      </items>
    </pivotField>
    <pivotField showAll="0">
      <items count="6">
        <item x="4"/>
        <item x="1"/>
        <item x="0"/>
        <item x="2"/>
        <item x="3"/>
        <item t="default"/>
      </items>
    </pivotField>
    <pivotField showAll="0"/>
    <pivotField showAll="0"/>
    <pivotField dataField="1" showAll="0"/>
    <pivotField dataField="1" showAll="0"/>
    <pivotField showAll="0"/>
    <pivotField showAll="0"/>
    <pivotField showAll="0"/>
    <pivotField showAll="0"/>
    <pivotField dataField="1"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6">
    <i>
      <x/>
    </i>
    <i>
      <x v="1"/>
    </i>
    <i>
      <x v="2"/>
    </i>
    <i>
      <x v="3"/>
    </i>
    <i>
      <x v="4"/>
    </i>
    <i t="grand">
      <x/>
    </i>
  </rowItems>
  <colFields count="1">
    <field x="-2"/>
  </colFields>
  <colItems count="3">
    <i>
      <x/>
    </i>
    <i i="1">
      <x v="1"/>
    </i>
    <i i="2">
      <x v="2"/>
    </i>
  </colItems>
  <dataFields count="3">
    <dataField name="Sum of Negotiated_Price" fld="8" baseField="0" baseItem="0"/>
    <dataField name="Sum of Unit_Price" fld="7" baseField="0" baseItem="0"/>
    <dataField name="Average of Saving Percentage" fld="13" subtotal="average" baseField="1" baseItem="3" numFmtId="9"/>
  </dataFields>
  <formats count="2">
    <format dxfId="39">
      <pivotArea outline="0" collapsedLevelsAreSubtotals="1" fieldPosition="0"/>
    </format>
    <format dxfId="38">
      <pivotArea outline="0" collapsedLevelsAreSubtotals="1" fieldPosition="0">
        <references count="1">
          <reference field="4294967294" count="1" selected="0">
            <x v="2"/>
          </reference>
        </references>
      </pivotArea>
    </format>
  </formats>
  <chartFormats count="8">
    <chartFormat chart="19" format="0" series="1">
      <pivotArea type="data" outline="0" fieldPosition="0">
        <references count="1">
          <reference field="4294967294" count="1" selected="0">
            <x v="1"/>
          </reference>
        </references>
      </pivotArea>
    </chartFormat>
    <chartFormat chart="19"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2"/>
          </reference>
        </references>
      </pivotArea>
    </chartFormat>
    <chartFormat chart="23"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1"/>
          </reference>
        </references>
      </pivotArea>
    </chartFormat>
    <chartFormat chart="23" format="8" series="1">
      <pivotArea type="data" outline="0" fieldPosition="0">
        <references count="1">
          <reference field="4294967294" count="1" selected="0">
            <x v="2"/>
          </reference>
        </references>
      </pivotArea>
    </chartFormat>
    <chartFormat chart="23" format="9">
      <pivotArea type="data" outline="0" fieldPosition="0">
        <references count="2">
          <reference field="4294967294" count="1" selected="0">
            <x v="2"/>
          </reference>
          <reference field="1" count="1" selected="0">
            <x v="2"/>
          </reference>
        </references>
      </pivotArea>
    </chartFormat>
    <chartFormat chart="23" format="10">
      <pivotArea type="data" outline="0" fieldPosition="0">
        <references count="2">
          <reference field="4294967294" count="1" selected="0">
            <x v="2"/>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967C9B-1214-45BA-8CA1-4D3B6409FB4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8">
    <pivotField dataField="1" showAll="0"/>
    <pivotField showAll="0"/>
    <pivotField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items count="451">
        <item x="295"/>
        <item x="361"/>
        <item x="127"/>
        <item x="179"/>
        <item x="384"/>
        <item x="29"/>
        <item x="117"/>
        <item x="279"/>
        <item x="224"/>
        <item x="298"/>
        <item x="215"/>
        <item x="174"/>
        <item x="417"/>
        <item x="145"/>
        <item x="314"/>
        <item x="433"/>
        <item x="449"/>
        <item x="20"/>
        <item x="183"/>
        <item x="426"/>
        <item x="2"/>
        <item x="14"/>
        <item x="83"/>
        <item x="306"/>
        <item x="319"/>
        <item x="106"/>
        <item x="54"/>
        <item x="43"/>
        <item x="223"/>
        <item x="147"/>
        <item x="87"/>
        <item x="213"/>
        <item x="172"/>
        <item x="53"/>
        <item x="203"/>
        <item x="152"/>
        <item x="438"/>
        <item x="328"/>
        <item x="180"/>
        <item x="270"/>
        <item x="45"/>
        <item x="378"/>
        <item x="71"/>
        <item x="299"/>
        <item x="149"/>
        <item x="264"/>
        <item x="150"/>
        <item x="216"/>
        <item x="57"/>
        <item x="37"/>
        <item x="10"/>
        <item x="212"/>
        <item x="39"/>
        <item x="202"/>
        <item x="15"/>
        <item x="58"/>
        <item x="284"/>
        <item x="131"/>
        <item x="204"/>
        <item x="36"/>
        <item x="7"/>
        <item x="122"/>
        <item x="447"/>
        <item x="1"/>
        <item x="389"/>
        <item x="247"/>
        <item x="336"/>
        <item x="107"/>
        <item x="350"/>
        <item x="340"/>
        <item x="118"/>
        <item x="333"/>
        <item x="170"/>
        <item x="441"/>
        <item x="259"/>
        <item x="155"/>
        <item x="154"/>
        <item x="282"/>
        <item x="391"/>
        <item x="188"/>
        <item x="95"/>
        <item x="268"/>
        <item x="409"/>
        <item x="6"/>
        <item x="376"/>
        <item x="137"/>
        <item x="304"/>
        <item x="301"/>
        <item x="110"/>
        <item x="241"/>
        <item x="410"/>
        <item x="233"/>
        <item x="159"/>
        <item x="125"/>
        <item x="271"/>
        <item x="108"/>
        <item x="35"/>
        <item x="139"/>
        <item x="30"/>
        <item x="75"/>
        <item x="73"/>
        <item x="358"/>
        <item x="243"/>
        <item x="129"/>
        <item x="315"/>
        <item x="356"/>
        <item x="205"/>
        <item x="324"/>
        <item x="440"/>
        <item x="342"/>
        <item x="136"/>
        <item x="194"/>
        <item x="379"/>
        <item x="51"/>
        <item x="234"/>
        <item x="289"/>
        <item x="22"/>
        <item x="375"/>
        <item x="221"/>
        <item x="255"/>
        <item x="308"/>
        <item x="90"/>
        <item x="423"/>
        <item x="414"/>
        <item x="363"/>
        <item x="266"/>
        <item x="26"/>
        <item x="88"/>
        <item x="56"/>
        <item x="187"/>
        <item x="177"/>
        <item x="178"/>
        <item x="5"/>
        <item x="323"/>
        <item x="16"/>
        <item x="81"/>
        <item x="312"/>
        <item x="17"/>
        <item x="408"/>
        <item x="146"/>
        <item x="406"/>
        <item x="217"/>
        <item x="185"/>
        <item x="245"/>
        <item x="293"/>
        <item x="171"/>
        <item x="4"/>
        <item x="96"/>
        <item x="116"/>
        <item x="192"/>
        <item x="444"/>
        <item x="402"/>
        <item x="377"/>
        <item x="439"/>
        <item x="258"/>
        <item x="388"/>
        <item x="283"/>
        <item x="67"/>
        <item x="128"/>
        <item x="267"/>
        <item x="401"/>
        <item x="78"/>
        <item x="120"/>
        <item x="254"/>
        <item x="94"/>
        <item x="42"/>
        <item x="99"/>
        <item x="327"/>
        <item x="316"/>
        <item x="335"/>
        <item x="425"/>
        <item x="285"/>
        <item x="86"/>
        <item x="208"/>
        <item x="407"/>
        <item x="28"/>
        <item x="3"/>
        <item x="47"/>
        <item x="34"/>
        <item x="60"/>
        <item x="286"/>
        <item x="227"/>
        <item x="419"/>
        <item x="281"/>
        <item x="362"/>
        <item x="261"/>
        <item x="123"/>
        <item x="235"/>
        <item x="355"/>
        <item x="275"/>
        <item x="338"/>
        <item x="164"/>
        <item x="133"/>
        <item x="446"/>
        <item x="322"/>
        <item x="263"/>
        <item x="257"/>
        <item x="143"/>
        <item x="238"/>
        <item x="326"/>
        <item x="367"/>
        <item x="84"/>
        <item x="348"/>
        <item x="82"/>
        <item x="413"/>
        <item x="173"/>
        <item x="296"/>
        <item x="184"/>
        <item x="288"/>
        <item x="33"/>
        <item x="332"/>
        <item x="337"/>
        <item x="269"/>
        <item x="418"/>
        <item x="435"/>
        <item x="65"/>
        <item x="307"/>
        <item x="321"/>
        <item x="437"/>
        <item x="196"/>
        <item x="310"/>
        <item x="40"/>
        <item x="49"/>
        <item x="103"/>
        <item x="138"/>
        <item x="63"/>
        <item x="434"/>
        <item x="167"/>
        <item x="38"/>
        <item x="357"/>
        <item x="64"/>
        <item x="225"/>
        <item x="59"/>
        <item x="114"/>
        <item x="77"/>
        <item x="318"/>
        <item x="102"/>
        <item x="330"/>
        <item x="325"/>
        <item x="382"/>
        <item x="428"/>
        <item x="218"/>
        <item x="353"/>
        <item x="193"/>
        <item x="222"/>
        <item x="85"/>
        <item x="198"/>
        <item x="165"/>
        <item x="412"/>
        <item x="246"/>
        <item x="420"/>
        <item x="352"/>
        <item x="112"/>
        <item x="313"/>
        <item x="385"/>
        <item x="251"/>
        <item x="32"/>
        <item x="197"/>
        <item x="364"/>
        <item x="346"/>
        <item x="161"/>
        <item x="396"/>
        <item x="228"/>
        <item x="12"/>
        <item x="415"/>
        <item x="207"/>
        <item x="339"/>
        <item x="305"/>
        <item x="394"/>
        <item x="210"/>
        <item x="272"/>
        <item x="124"/>
        <item x="400"/>
        <item x="168"/>
        <item x="398"/>
        <item x="368"/>
        <item x="262"/>
        <item x="126"/>
        <item x="27"/>
        <item x="320"/>
        <item x="209"/>
        <item x="226"/>
        <item x="76"/>
        <item x="61"/>
        <item x="265"/>
        <item x="93"/>
        <item x="390"/>
        <item x="442"/>
        <item x="392"/>
        <item x="199"/>
        <item x="387"/>
        <item x="370"/>
        <item x="399"/>
        <item x="219"/>
        <item x="157"/>
        <item x="405"/>
        <item x="191"/>
        <item x="424"/>
        <item x="220"/>
        <item x="105"/>
        <item x="144"/>
        <item x="186"/>
        <item x="151"/>
        <item x="232"/>
        <item x="292"/>
        <item x="18"/>
        <item x="351"/>
        <item x="381"/>
        <item x="92"/>
        <item x="395"/>
        <item x="369"/>
        <item x="239"/>
        <item x="169"/>
        <item x="130"/>
        <item x="135"/>
        <item x="386"/>
        <item x="104"/>
        <item x="242"/>
        <item x="344"/>
        <item x="278"/>
        <item x="240"/>
        <item x="404"/>
        <item x="153"/>
        <item x="119"/>
        <item x="430"/>
        <item x="206"/>
        <item x="74"/>
        <item x="331"/>
        <item x="44"/>
        <item x="421"/>
        <item x="141"/>
        <item x="237"/>
        <item x="140"/>
        <item x="98"/>
        <item x="162"/>
        <item x="273"/>
        <item x="436"/>
        <item x="25"/>
        <item x="9"/>
        <item x="211"/>
        <item x="397"/>
        <item x="280"/>
        <item x="230"/>
        <item x="297"/>
        <item x="158"/>
        <item x="303"/>
        <item x="176"/>
        <item x="80"/>
        <item x="89"/>
        <item x="148"/>
        <item x="46"/>
        <item x="432"/>
        <item x="311"/>
        <item x="21"/>
        <item x="97"/>
        <item x="50"/>
        <item x="360"/>
        <item x="189"/>
        <item x="253"/>
        <item x="190"/>
        <item x="302"/>
        <item x="100"/>
        <item x="252"/>
        <item x="365"/>
        <item x="248"/>
        <item x="341"/>
        <item x="334"/>
        <item x="448"/>
        <item x="101"/>
        <item x="236"/>
        <item x="113"/>
        <item x="431"/>
        <item x="175"/>
        <item x="11"/>
        <item x="393"/>
        <item x="41"/>
        <item x="115"/>
        <item x="160"/>
        <item x="249"/>
        <item x="142"/>
        <item x="276"/>
        <item x="19"/>
        <item x="359"/>
        <item x="445"/>
        <item x="422"/>
        <item x="48"/>
        <item x="287"/>
        <item x="366"/>
        <item x="132"/>
        <item x="250"/>
        <item x="109"/>
        <item x="349"/>
        <item x="429"/>
        <item x="294"/>
        <item x="182"/>
        <item x="403"/>
        <item x="134"/>
        <item x="72"/>
        <item x="329"/>
        <item x="0"/>
        <item x="373"/>
        <item x="62"/>
        <item x="291"/>
        <item x="23"/>
        <item x="214"/>
        <item x="200"/>
        <item x="121"/>
        <item x="195"/>
        <item x="91"/>
        <item x="70"/>
        <item x="55"/>
        <item x="201"/>
        <item x="371"/>
        <item x="372"/>
        <item x="231"/>
        <item x="347"/>
        <item x="277"/>
        <item x="256"/>
        <item x="66"/>
        <item x="156"/>
        <item x="8"/>
        <item x="166"/>
        <item x="374"/>
        <item x="111"/>
        <item x="260"/>
        <item x="309"/>
        <item x="244"/>
        <item x="427"/>
        <item x="69"/>
        <item x="79"/>
        <item x="345"/>
        <item x="383"/>
        <item x="31"/>
        <item x="229"/>
        <item x="163"/>
        <item x="290"/>
        <item x="68"/>
        <item x="416"/>
        <item x="343"/>
        <item x="300"/>
        <item x="380"/>
        <item x="354"/>
        <item x="24"/>
        <item x="52"/>
        <item x="181"/>
        <item x="443"/>
        <item x="317"/>
        <item x="274"/>
        <item x="411"/>
        <item x="13"/>
        <item t="default"/>
      </items>
    </pivotField>
    <pivotField showAll="0">
      <items count="6">
        <item x="4"/>
        <item x="1"/>
        <item x="0"/>
        <item x="2"/>
        <item x="3"/>
        <item t="default"/>
      </items>
    </pivotField>
    <pivotField showAll="0"/>
    <pivotField showAll="0"/>
    <pivotField showAll="0"/>
    <pivotField showAll="0"/>
    <pivotField showAll="0"/>
    <pivotField showAll="0"/>
    <pivotField showAll="0"/>
    <pivotField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PO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856351-C492-4E54-ABF2-88312CFD4529}" name="PivotTable1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0">
  <location ref="S3:T9" firstHeaderRow="1" firstDataRow="1" firstDataCol="1" rowPageCount="1" colPageCount="1"/>
  <pivotFields count="18">
    <pivotField showAll="0"/>
    <pivotField showAll="0">
      <items count="6">
        <item x="0"/>
        <item x="3"/>
        <item x="1"/>
        <item x="4"/>
        <item x="2"/>
        <item t="default"/>
      </items>
    </pivotField>
    <pivotField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items count="451">
        <item x="295"/>
        <item x="361"/>
        <item x="127"/>
        <item x="179"/>
        <item x="384"/>
        <item x="29"/>
        <item x="117"/>
        <item x="279"/>
        <item x="224"/>
        <item x="298"/>
        <item x="215"/>
        <item x="174"/>
        <item x="417"/>
        <item x="145"/>
        <item x="314"/>
        <item x="433"/>
        <item x="449"/>
        <item x="20"/>
        <item x="183"/>
        <item x="426"/>
        <item x="2"/>
        <item x="14"/>
        <item x="83"/>
        <item x="306"/>
        <item x="319"/>
        <item x="106"/>
        <item x="54"/>
        <item x="43"/>
        <item x="223"/>
        <item x="147"/>
        <item x="87"/>
        <item x="213"/>
        <item x="172"/>
        <item x="53"/>
        <item x="203"/>
        <item x="152"/>
        <item x="438"/>
        <item x="328"/>
        <item x="180"/>
        <item x="270"/>
        <item x="45"/>
        <item x="378"/>
        <item x="71"/>
        <item x="299"/>
        <item x="149"/>
        <item x="264"/>
        <item x="150"/>
        <item x="216"/>
        <item x="57"/>
        <item x="37"/>
        <item x="10"/>
        <item x="212"/>
        <item x="39"/>
        <item x="202"/>
        <item x="15"/>
        <item x="58"/>
        <item x="284"/>
        <item x="131"/>
        <item x="204"/>
        <item x="36"/>
        <item x="7"/>
        <item x="122"/>
        <item x="447"/>
        <item x="1"/>
        <item x="389"/>
        <item x="247"/>
        <item x="336"/>
        <item x="107"/>
        <item x="350"/>
        <item x="340"/>
        <item x="118"/>
        <item x="333"/>
        <item x="170"/>
        <item x="441"/>
        <item x="259"/>
        <item x="155"/>
        <item x="154"/>
        <item x="282"/>
        <item x="391"/>
        <item x="188"/>
        <item x="95"/>
        <item x="268"/>
        <item x="409"/>
        <item x="6"/>
        <item x="376"/>
        <item x="137"/>
        <item x="304"/>
        <item x="301"/>
        <item x="110"/>
        <item x="241"/>
        <item x="410"/>
        <item x="233"/>
        <item x="159"/>
        <item x="125"/>
        <item x="271"/>
        <item x="108"/>
        <item x="35"/>
        <item x="139"/>
        <item x="30"/>
        <item x="75"/>
        <item x="73"/>
        <item x="358"/>
        <item x="243"/>
        <item x="129"/>
        <item x="315"/>
        <item x="356"/>
        <item x="205"/>
        <item x="324"/>
        <item x="440"/>
        <item x="342"/>
        <item x="136"/>
        <item x="194"/>
        <item x="379"/>
        <item x="51"/>
        <item x="234"/>
        <item x="289"/>
        <item x="22"/>
        <item x="375"/>
        <item x="221"/>
        <item x="255"/>
        <item x="308"/>
        <item x="90"/>
        <item x="423"/>
        <item x="414"/>
        <item x="363"/>
        <item x="266"/>
        <item x="26"/>
        <item x="88"/>
        <item x="56"/>
        <item x="187"/>
        <item x="177"/>
        <item x="178"/>
        <item x="5"/>
        <item x="323"/>
        <item x="16"/>
        <item x="81"/>
        <item x="312"/>
        <item x="17"/>
        <item x="408"/>
        <item x="146"/>
        <item x="406"/>
        <item x="217"/>
        <item x="185"/>
        <item x="245"/>
        <item x="293"/>
        <item x="171"/>
        <item x="4"/>
        <item x="96"/>
        <item x="116"/>
        <item x="192"/>
        <item x="444"/>
        <item x="402"/>
        <item x="377"/>
        <item x="439"/>
        <item x="258"/>
        <item x="388"/>
        <item x="283"/>
        <item x="67"/>
        <item x="128"/>
        <item x="267"/>
        <item x="401"/>
        <item x="78"/>
        <item x="120"/>
        <item x="254"/>
        <item x="94"/>
        <item x="42"/>
        <item x="99"/>
        <item x="327"/>
        <item x="316"/>
        <item x="335"/>
        <item x="425"/>
        <item x="285"/>
        <item x="86"/>
        <item x="208"/>
        <item x="407"/>
        <item x="28"/>
        <item x="3"/>
        <item x="47"/>
        <item x="34"/>
        <item x="60"/>
        <item x="286"/>
        <item x="227"/>
        <item x="419"/>
        <item x="281"/>
        <item x="362"/>
        <item x="261"/>
        <item x="123"/>
        <item x="235"/>
        <item x="355"/>
        <item x="275"/>
        <item x="338"/>
        <item x="164"/>
        <item x="133"/>
        <item x="446"/>
        <item x="322"/>
        <item x="263"/>
        <item x="257"/>
        <item x="143"/>
        <item x="238"/>
        <item x="326"/>
        <item x="367"/>
        <item x="84"/>
        <item x="348"/>
        <item x="82"/>
        <item x="413"/>
        <item x="173"/>
        <item x="296"/>
        <item x="184"/>
        <item x="288"/>
        <item x="33"/>
        <item x="332"/>
        <item x="337"/>
        <item x="269"/>
        <item x="418"/>
        <item x="435"/>
        <item x="65"/>
        <item x="307"/>
        <item x="321"/>
        <item x="437"/>
        <item x="196"/>
        <item x="310"/>
        <item x="40"/>
        <item x="49"/>
        <item x="103"/>
        <item x="138"/>
        <item x="63"/>
        <item x="434"/>
        <item x="167"/>
        <item x="38"/>
        <item x="357"/>
        <item x="64"/>
        <item x="225"/>
        <item x="59"/>
        <item x="114"/>
        <item x="77"/>
        <item x="318"/>
        <item x="102"/>
        <item x="330"/>
        <item x="325"/>
        <item x="382"/>
        <item x="428"/>
        <item x="218"/>
        <item x="353"/>
        <item x="193"/>
        <item x="222"/>
        <item x="85"/>
        <item x="198"/>
        <item x="165"/>
        <item x="412"/>
        <item x="246"/>
        <item x="420"/>
        <item x="352"/>
        <item x="112"/>
        <item x="313"/>
        <item x="385"/>
        <item x="251"/>
        <item x="32"/>
        <item x="197"/>
        <item x="364"/>
        <item x="346"/>
        <item x="161"/>
        <item x="396"/>
        <item x="228"/>
        <item x="12"/>
        <item x="415"/>
        <item x="207"/>
        <item x="339"/>
        <item x="305"/>
        <item x="394"/>
        <item x="210"/>
        <item x="272"/>
        <item x="124"/>
        <item x="400"/>
        <item x="168"/>
        <item x="398"/>
        <item x="368"/>
        <item x="262"/>
        <item x="126"/>
        <item x="27"/>
        <item x="320"/>
        <item x="209"/>
        <item x="226"/>
        <item x="76"/>
        <item x="61"/>
        <item x="265"/>
        <item x="93"/>
        <item x="390"/>
        <item x="442"/>
        <item x="392"/>
        <item x="199"/>
        <item x="387"/>
        <item x="370"/>
        <item x="399"/>
        <item x="219"/>
        <item x="157"/>
        <item x="405"/>
        <item x="191"/>
        <item x="424"/>
        <item x="220"/>
        <item x="105"/>
        <item x="144"/>
        <item x="186"/>
        <item x="151"/>
        <item x="232"/>
        <item x="292"/>
        <item x="18"/>
        <item x="351"/>
        <item x="381"/>
        <item x="92"/>
        <item x="395"/>
        <item x="369"/>
        <item x="239"/>
        <item x="169"/>
        <item x="130"/>
        <item x="135"/>
        <item x="386"/>
        <item x="104"/>
        <item x="242"/>
        <item x="344"/>
        <item x="278"/>
        <item x="240"/>
        <item x="404"/>
        <item x="153"/>
        <item x="119"/>
        <item x="430"/>
        <item x="206"/>
        <item x="74"/>
        <item x="331"/>
        <item x="44"/>
        <item x="421"/>
        <item x="141"/>
        <item x="237"/>
        <item x="140"/>
        <item x="98"/>
        <item x="162"/>
        <item x="273"/>
        <item x="436"/>
        <item x="25"/>
        <item x="9"/>
        <item x="211"/>
        <item x="397"/>
        <item x="280"/>
        <item x="230"/>
        <item x="297"/>
        <item x="158"/>
        <item x="303"/>
        <item x="176"/>
        <item x="80"/>
        <item x="89"/>
        <item x="148"/>
        <item x="46"/>
        <item x="432"/>
        <item x="311"/>
        <item x="21"/>
        <item x="97"/>
        <item x="50"/>
        <item x="360"/>
        <item x="189"/>
        <item x="253"/>
        <item x="190"/>
        <item x="302"/>
        <item x="100"/>
        <item x="252"/>
        <item x="365"/>
        <item x="248"/>
        <item x="341"/>
        <item x="334"/>
        <item x="448"/>
        <item x="101"/>
        <item x="236"/>
        <item x="113"/>
        <item x="431"/>
        <item x="175"/>
        <item x="11"/>
        <item x="393"/>
        <item x="41"/>
        <item x="115"/>
        <item x="160"/>
        <item x="249"/>
        <item x="142"/>
        <item x="276"/>
        <item x="19"/>
        <item x="359"/>
        <item x="445"/>
        <item x="422"/>
        <item x="48"/>
        <item x="287"/>
        <item x="366"/>
        <item x="132"/>
        <item x="250"/>
        <item x="109"/>
        <item x="349"/>
        <item x="429"/>
        <item x="294"/>
        <item x="182"/>
        <item x="403"/>
        <item x="134"/>
        <item x="72"/>
        <item x="329"/>
        <item x="0"/>
        <item x="373"/>
        <item x="62"/>
        <item x="291"/>
        <item x="23"/>
        <item x="214"/>
        <item x="200"/>
        <item x="121"/>
        <item x="195"/>
        <item x="91"/>
        <item x="70"/>
        <item x="55"/>
        <item x="201"/>
        <item x="371"/>
        <item x="372"/>
        <item x="231"/>
        <item x="347"/>
        <item x="277"/>
        <item x="256"/>
        <item x="66"/>
        <item x="156"/>
        <item x="8"/>
        <item x="166"/>
        <item x="374"/>
        <item x="111"/>
        <item x="260"/>
        <item x="309"/>
        <item x="244"/>
        <item x="427"/>
        <item x="69"/>
        <item x="79"/>
        <item x="345"/>
        <item x="383"/>
        <item x="31"/>
        <item x="229"/>
        <item x="163"/>
        <item x="290"/>
        <item x="68"/>
        <item x="416"/>
        <item x="343"/>
        <item x="300"/>
        <item x="380"/>
        <item x="354"/>
        <item x="24"/>
        <item x="52"/>
        <item x="181"/>
        <item x="443"/>
        <item x="317"/>
        <item x="274"/>
        <item x="411"/>
        <item x="13"/>
        <item t="default"/>
      </items>
    </pivotField>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axis="axisPage" multipleItemSelectionAllowed="1" showAll="0">
      <items count="5">
        <item h="1" x="0"/>
        <item x="1"/>
        <item x="2"/>
        <item x="3"/>
        <item t="default"/>
      </items>
    </pivotField>
    <pivotField showAll="0"/>
    <pivotField showAll="0"/>
    <pivotField showAll="0"/>
    <pivotField showAll="0"/>
    <pivotField showAll="0"/>
    <pivotField showAll="0"/>
    <pivotField showAll="0"/>
    <pivotField numFmtId="9"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6">
    <i>
      <x v="1"/>
    </i>
    <i>
      <x v="2"/>
    </i>
    <i>
      <x v="3"/>
    </i>
    <i>
      <x/>
    </i>
    <i>
      <x v="4"/>
    </i>
    <i t="grand">
      <x/>
    </i>
  </rowItems>
  <colItems count="1">
    <i/>
  </colItems>
  <pageFields count="1">
    <pageField fld="5" hier="-1"/>
  </pageFields>
  <dataFields count="1">
    <dataField name="Sum of Total Cost Savings" fld="14" baseField="0" baseItem="0" numFmtId="165"/>
  </dataFields>
  <formats count="5">
    <format dxfId="44">
      <pivotArea type="all" dataOnly="0" outline="0" fieldPosition="0"/>
    </format>
    <format dxfId="43">
      <pivotArea field="4" type="button" dataOnly="0" labelOnly="1" outline="0" axis="axisRow" fieldPosition="0"/>
    </format>
    <format dxfId="42">
      <pivotArea dataOnly="0" labelOnly="1" grandRow="1" outline="0" fieldPosition="0"/>
    </format>
    <format dxfId="41">
      <pivotArea dataOnly="0" labelOnly="1" outline="0" axis="axisValues" fieldPosition="0"/>
    </format>
    <format dxfId="40">
      <pivotArea outline="0" collapsedLevelsAreSubtotals="1" fieldPosition="0"/>
    </format>
  </formats>
  <chartFormats count="2">
    <chartFormat chart="17"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085022-71DC-4ECA-97B5-2D67DAF10E3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40:A41" firstHeaderRow="1" firstDataRow="1" firstDataCol="0" rowPageCount="1" colPageCount="1"/>
  <pivotFields count="18">
    <pivotField showAll="0"/>
    <pivotField showAll="0">
      <items count="6">
        <item x="0"/>
        <item x="3"/>
        <item x="1"/>
        <item x="4"/>
        <item x="2"/>
        <item t="default"/>
      </items>
    </pivotField>
    <pivotField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items count="451">
        <item x="295"/>
        <item x="361"/>
        <item x="127"/>
        <item x="179"/>
        <item x="384"/>
        <item x="29"/>
        <item x="117"/>
        <item x="279"/>
        <item x="224"/>
        <item x="298"/>
        <item x="215"/>
        <item x="174"/>
        <item x="417"/>
        <item x="145"/>
        <item x="314"/>
        <item x="433"/>
        <item x="449"/>
        <item x="20"/>
        <item x="183"/>
        <item x="426"/>
        <item x="2"/>
        <item x="14"/>
        <item x="83"/>
        <item x="306"/>
        <item x="319"/>
        <item x="106"/>
        <item x="54"/>
        <item x="43"/>
        <item x="223"/>
        <item x="147"/>
        <item x="87"/>
        <item x="213"/>
        <item x="172"/>
        <item x="53"/>
        <item x="203"/>
        <item x="152"/>
        <item x="438"/>
        <item x="328"/>
        <item x="180"/>
        <item x="270"/>
        <item x="45"/>
        <item x="378"/>
        <item x="71"/>
        <item x="299"/>
        <item x="149"/>
        <item x="264"/>
        <item x="150"/>
        <item x="216"/>
        <item x="57"/>
        <item x="37"/>
        <item x="10"/>
        <item x="212"/>
        <item x="39"/>
        <item x="202"/>
        <item x="15"/>
        <item x="58"/>
        <item x="284"/>
        <item x="131"/>
        <item x="204"/>
        <item x="36"/>
        <item x="7"/>
        <item x="122"/>
        <item x="447"/>
        <item x="1"/>
        <item x="389"/>
        <item x="247"/>
        <item x="336"/>
        <item x="107"/>
        <item x="350"/>
        <item x="340"/>
        <item x="118"/>
        <item x="333"/>
        <item x="170"/>
        <item x="441"/>
        <item x="259"/>
        <item x="155"/>
        <item x="154"/>
        <item x="282"/>
        <item x="391"/>
        <item x="188"/>
        <item x="95"/>
        <item x="268"/>
        <item x="409"/>
        <item x="6"/>
        <item x="376"/>
        <item x="137"/>
        <item x="304"/>
        <item x="301"/>
        <item x="110"/>
        <item x="241"/>
        <item x="410"/>
        <item x="233"/>
        <item x="159"/>
        <item x="125"/>
        <item x="271"/>
        <item x="108"/>
        <item x="35"/>
        <item x="139"/>
        <item x="30"/>
        <item x="75"/>
        <item x="73"/>
        <item x="358"/>
        <item x="243"/>
        <item x="129"/>
        <item x="315"/>
        <item x="356"/>
        <item x="205"/>
        <item x="324"/>
        <item x="440"/>
        <item x="342"/>
        <item x="136"/>
        <item x="194"/>
        <item x="379"/>
        <item x="51"/>
        <item x="234"/>
        <item x="289"/>
        <item x="22"/>
        <item x="375"/>
        <item x="221"/>
        <item x="255"/>
        <item x="308"/>
        <item x="90"/>
        <item x="423"/>
        <item x="414"/>
        <item x="363"/>
        <item x="266"/>
        <item x="26"/>
        <item x="88"/>
        <item x="56"/>
        <item x="187"/>
        <item x="177"/>
        <item x="178"/>
        <item x="5"/>
        <item x="323"/>
        <item x="16"/>
        <item x="81"/>
        <item x="312"/>
        <item x="17"/>
        <item x="408"/>
        <item x="146"/>
        <item x="406"/>
        <item x="217"/>
        <item x="185"/>
        <item x="245"/>
        <item x="293"/>
        <item x="171"/>
        <item x="4"/>
        <item x="96"/>
        <item x="116"/>
        <item x="192"/>
        <item x="444"/>
        <item x="402"/>
        <item x="377"/>
        <item x="439"/>
        <item x="258"/>
        <item x="388"/>
        <item x="283"/>
        <item x="67"/>
        <item x="128"/>
        <item x="267"/>
        <item x="401"/>
        <item x="78"/>
        <item x="120"/>
        <item x="254"/>
        <item x="94"/>
        <item x="42"/>
        <item x="99"/>
        <item x="327"/>
        <item x="316"/>
        <item x="335"/>
        <item x="425"/>
        <item x="285"/>
        <item x="86"/>
        <item x="208"/>
        <item x="407"/>
        <item x="28"/>
        <item x="3"/>
        <item x="47"/>
        <item x="34"/>
        <item x="60"/>
        <item x="286"/>
        <item x="227"/>
        <item x="419"/>
        <item x="281"/>
        <item x="362"/>
        <item x="261"/>
        <item x="123"/>
        <item x="235"/>
        <item x="355"/>
        <item x="275"/>
        <item x="338"/>
        <item x="164"/>
        <item x="133"/>
        <item x="446"/>
        <item x="322"/>
        <item x="263"/>
        <item x="257"/>
        <item x="143"/>
        <item x="238"/>
        <item x="326"/>
        <item x="367"/>
        <item x="84"/>
        <item x="348"/>
        <item x="82"/>
        <item x="413"/>
        <item x="173"/>
        <item x="296"/>
        <item x="184"/>
        <item x="288"/>
        <item x="33"/>
        <item x="332"/>
        <item x="337"/>
        <item x="269"/>
        <item x="418"/>
        <item x="435"/>
        <item x="65"/>
        <item x="307"/>
        <item x="321"/>
        <item x="437"/>
        <item x="196"/>
        <item x="310"/>
        <item x="40"/>
        <item x="49"/>
        <item x="103"/>
        <item x="138"/>
        <item x="63"/>
        <item x="434"/>
        <item x="167"/>
        <item x="38"/>
        <item x="357"/>
        <item x="64"/>
        <item x="225"/>
        <item x="59"/>
        <item x="114"/>
        <item x="77"/>
        <item x="318"/>
        <item x="102"/>
        <item x="330"/>
        <item x="325"/>
        <item x="382"/>
        <item x="428"/>
        <item x="218"/>
        <item x="353"/>
        <item x="193"/>
        <item x="222"/>
        <item x="85"/>
        <item x="198"/>
        <item x="165"/>
        <item x="412"/>
        <item x="246"/>
        <item x="420"/>
        <item x="352"/>
        <item x="112"/>
        <item x="313"/>
        <item x="385"/>
        <item x="251"/>
        <item x="32"/>
        <item x="197"/>
        <item x="364"/>
        <item x="346"/>
        <item x="161"/>
        <item x="396"/>
        <item x="228"/>
        <item x="12"/>
        <item x="415"/>
        <item x="207"/>
        <item x="339"/>
        <item x="305"/>
        <item x="394"/>
        <item x="210"/>
        <item x="272"/>
        <item x="124"/>
        <item x="400"/>
        <item x="168"/>
        <item x="398"/>
        <item x="368"/>
        <item x="262"/>
        <item x="126"/>
        <item x="27"/>
        <item x="320"/>
        <item x="209"/>
        <item x="226"/>
        <item x="76"/>
        <item x="61"/>
        <item x="265"/>
        <item x="93"/>
        <item x="390"/>
        <item x="442"/>
        <item x="392"/>
        <item x="199"/>
        <item x="387"/>
        <item x="370"/>
        <item x="399"/>
        <item x="219"/>
        <item x="157"/>
        <item x="405"/>
        <item x="191"/>
        <item x="424"/>
        <item x="220"/>
        <item x="105"/>
        <item x="144"/>
        <item x="186"/>
        <item x="151"/>
        <item x="232"/>
        <item x="292"/>
        <item x="18"/>
        <item x="351"/>
        <item x="381"/>
        <item x="92"/>
        <item x="395"/>
        <item x="369"/>
        <item x="239"/>
        <item x="169"/>
        <item x="130"/>
        <item x="135"/>
        <item x="386"/>
        <item x="104"/>
        <item x="242"/>
        <item x="344"/>
        <item x="278"/>
        <item x="240"/>
        <item x="404"/>
        <item x="153"/>
        <item x="119"/>
        <item x="430"/>
        <item x="206"/>
        <item x="74"/>
        <item x="331"/>
        <item x="44"/>
        <item x="421"/>
        <item x="141"/>
        <item x="237"/>
        <item x="140"/>
        <item x="98"/>
        <item x="162"/>
        <item x="273"/>
        <item x="436"/>
        <item x="25"/>
        <item x="9"/>
        <item x="211"/>
        <item x="397"/>
        <item x="280"/>
        <item x="230"/>
        <item x="297"/>
        <item x="158"/>
        <item x="303"/>
        <item x="176"/>
        <item x="80"/>
        <item x="89"/>
        <item x="148"/>
        <item x="46"/>
        <item x="432"/>
        <item x="311"/>
        <item x="21"/>
        <item x="97"/>
        <item x="50"/>
        <item x="360"/>
        <item x="189"/>
        <item x="253"/>
        <item x="190"/>
        <item x="302"/>
        <item x="100"/>
        <item x="252"/>
        <item x="365"/>
        <item x="248"/>
        <item x="341"/>
        <item x="334"/>
        <item x="448"/>
        <item x="101"/>
        <item x="236"/>
        <item x="113"/>
        <item x="431"/>
        <item x="175"/>
        <item x="11"/>
        <item x="393"/>
        <item x="41"/>
        <item x="115"/>
        <item x="160"/>
        <item x="249"/>
        <item x="142"/>
        <item x="276"/>
        <item x="19"/>
        <item x="359"/>
        <item x="445"/>
        <item x="422"/>
        <item x="48"/>
        <item x="287"/>
        <item x="366"/>
        <item x="132"/>
        <item x="250"/>
        <item x="109"/>
        <item x="349"/>
        <item x="429"/>
        <item x="294"/>
        <item x="182"/>
        <item x="403"/>
        <item x="134"/>
        <item x="72"/>
        <item x="329"/>
        <item x="0"/>
        <item x="373"/>
        <item x="62"/>
        <item x="291"/>
        <item x="23"/>
        <item x="214"/>
        <item x="200"/>
        <item x="121"/>
        <item x="195"/>
        <item x="91"/>
        <item x="70"/>
        <item x="55"/>
        <item x="201"/>
        <item x="371"/>
        <item x="372"/>
        <item x="231"/>
        <item x="347"/>
        <item x="277"/>
        <item x="256"/>
        <item x="66"/>
        <item x="156"/>
        <item x="8"/>
        <item x="166"/>
        <item x="374"/>
        <item x="111"/>
        <item x="260"/>
        <item x="309"/>
        <item x="244"/>
        <item x="427"/>
        <item x="69"/>
        <item x="79"/>
        <item x="345"/>
        <item x="383"/>
        <item x="31"/>
        <item x="229"/>
        <item x="163"/>
        <item x="290"/>
        <item x="68"/>
        <item x="416"/>
        <item x="343"/>
        <item x="300"/>
        <item x="380"/>
        <item x="354"/>
        <item x="24"/>
        <item x="52"/>
        <item x="181"/>
        <item x="443"/>
        <item x="317"/>
        <item x="274"/>
        <item x="411"/>
        <item x="13"/>
        <item t="default"/>
      </items>
    </pivotField>
    <pivotField showAll="0">
      <items count="6">
        <item x="4"/>
        <item x="1"/>
        <item x="0"/>
        <item x="2"/>
        <item x="3"/>
        <item t="default"/>
      </items>
    </pivotField>
    <pivotField axis="axisPage" multipleItemSelectionAllowed="1" showAll="0">
      <items count="5">
        <item h="1" x="0"/>
        <item x="1"/>
        <item x="2"/>
        <item x="3"/>
        <item t="default"/>
      </items>
    </pivotField>
    <pivotField showAll="0"/>
    <pivotField showAll="0"/>
    <pivotField showAll="0"/>
    <pivotField showAll="0"/>
    <pivotField showAll="0">
      <items count="3">
        <item x="1"/>
        <item x="0"/>
        <item t="default"/>
      </items>
    </pivotField>
    <pivotField showAll="0"/>
    <pivotField showAll="0"/>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pageFields count="1">
    <pageField fld="5" hier="-1"/>
  </pageFields>
  <dataFields count="1">
    <dataField name="Sum of Total Cost Savings" fld="14" baseField="0" baseItem="0" numFmtId="165"/>
  </dataFields>
  <formats count="1">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7383B3-939A-4787-8554-A2D6DF46C01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5:D8" firstHeaderRow="1" firstDataRow="1" firstDataCol="1"/>
  <pivotFields count="17">
    <pivotField showAll="0"/>
    <pivotField showAll="0"/>
    <pivotField showAll="0">
      <items count="478">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x="476"/>
        <item t="default"/>
      </items>
    </pivotField>
    <pivotField showAll="0">
      <items count="451">
        <item x="295"/>
        <item x="361"/>
        <item x="127"/>
        <item x="179"/>
        <item x="384"/>
        <item x="29"/>
        <item x="117"/>
        <item x="279"/>
        <item x="224"/>
        <item x="298"/>
        <item x="215"/>
        <item x="174"/>
        <item x="417"/>
        <item x="145"/>
        <item x="314"/>
        <item x="433"/>
        <item x="449"/>
        <item x="20"/>
        <item x="183"/>
        <item x="426"/>
        <item x="2"/>
        <item x="14"/>
        <item x="83"/>
        <item x="306"/>
        <item x="319"/>
        <item x="106"/>
        <item x="54"/>
        <item x="43"/>
        <item x="223"/>
        <item x="147"/>
        <item x="87"/>
        <item x="213"/>
        <item x="172"/>
        <item x="53"/>
        <item x="203"/>
        <item x="152"/>
        <item x="438"/>
        <item x="328"/>
        <item x="180"/>
        <item x="270"/>
        <item x="45"/>
        <item x="378"/>
        <item x="71"/>
        <item x="299"/>
        <item x="149"/>
        <item x="264"/>
        <item x="150"/>
        <item x="216"/>
        <item x="57"/>
        <item x="37"/>
        <item x="10"/>
        <item x="212"/>
        <item x="39"/>
        <item x="202"/>
        <item x="15"/>
        <item x="58"/>
        <item x="284"/>
        <item x="131"/>
        <item x="204"/>
        <item x="36"/>
        <item x="7"/>
        <item x="122"/>
        <item x="447"/>
        <item x="1"/>
        <item x="389"/>
        <item x="247"/>
        <item x="336"/>
        <item x="107"/>
        <item x="350"/>
        <item x="340"/>
        <item x="118"/>
        <item x="333"/>
        <item x="170"/>
        <item x="441"/>
        <item x="259"/>
        <item x="155"/>
        <item x="154"/>
        <item x="282"/>
        <item x="391"/>
        <item x="188"/>
        <item x="95"/>
        <item x="268"/>
        <item x="409"/>
        <item x="6"/>
        <item x="376"/>
        <item x="137"/>
        <item x="304"/>
        <item x="301"/>
        <item x="110"/>
        <item x="241"/>
        <item x="410"/>
        <item x="233"/>
        <item x="159"/>
        <item x="125"/>
        <item x="271"/>
        <item x="108"/>
        <item x="35"/>
        <item x="139"/>
        <item x="30"/>
        <item x="75"/>
        <item x="73"/>
        <item x="358"/>
        <item x="243"/>
        <item x="129"/>
        <item x="315"/>
        <item x="356"/>
        <item x="205"/>
        <item x="324"/>
        <item x="440"/>
        <item x="342"/>
        <item x="136"/>
        <item x="194"/>
        <item x="379"/>
        <item x="51"/>
        <item x="234"/>
        <item x="289"/>
        <item x="22"/>
        <item x="375"/>
        <item x="221"/>
        <item x="255"/>
        <item x="308"/>
        <item x="90"/>
        <item x="423"/>
        <item x="414"/>
        <item x="363"/>
        <item x="266"/>
        <item x="26"/>
        <item x="88"/>
        <item x="56"/>
        <item x="187"/>
        <item x="177"/>
        <item x="178"/>
        <item x="5"/>
        <item x="323"/>
        <item x="16"/>
        <item x="81"/>
        <item x="312"/>
        <item x="17"/>
        <item x="408"/>
        <item x="146"/>
        <item x="406"/>
        <item x="217"/>
        <item x="185"/>
        <item x="245"/>
        <item x="293"/>
        <item x="171"/>
        <item x="4"/>
        <item x="96"/>
        <item x="116"/>
        <item x="192"/>
        <item x="444"/>
        <item x="402"/>
        <item x="377"/>
        <item x="439"/>
        <item x="258"/>
        <item x="388"/>
        <item x="283"/>
        <item x="67"/>
        <item x="128"/>
        <item x="267"/>
        <item x="401"/>
        <item x="78"/>
        <item x="120"/>
        <item x="254"/>
        <item x="94"/>
        <item x="42"/>
        <item x="99"/>
        <item x="327"/>
        <item x="316"/>
        <item x="335"/>
        <item x="425"/>
        <item x="285"/>
        <item x="86"/>
        <item x="208"/>
        <item x="407"/>
        <item x="28"/>
        <item x="3"/>
        <item x="47"/>
        <item x="34"/>
        <item x="60"/>
        <item x="286"/>
        <item x="227"/>
        <item x="419"/>
        <item x="281"/>
        <item x="362"/>
        <item x="261"/>
        <item x="123"/>
        <item x="235"/>
        <item x="355"/>
        <item x="275"/>
        <item x="338"/>
        <item x="164"/>
        <item x="133"/>
        <item x="446"/>
        <item x="322"/>
        <item x="263"/>
        <item x="257"/>
        <item x="143"/>
        <item x="238"/>
        <item x="326"/>
        <item x="367"/>
        <item x="84"/>
        <item x="348"/>
        <item x="82"/>
        <item x="413"/>
        <item x="173"/>
        <item x="296"/>
        <item x="184"/>
        <item x="288"/>
        <item x="33"/>
        <item x="332"/>
        <item x="337"/>
        <item x="269"/>
        <item x="418"/>
        <item x="435"/>
        <item x="65"/>
        <item x="307"/>
        <item x="321"/>
        <item x="437"/>
        <item x="196"/>
        <item x="310"/>
        <item x="40"/>
        <item x="49"/>
        <item x="103"/>
        <item x="138"/>
        <item x="63"/>
        <item x="434"/>
        <item x="167"/>
        <item x="38"/>
        <item x="357"/>
        <item x="64"/>
        <item x="225"/>
        <item x="59"/>
        <item x="114"/>
        <item x="77"/>
        <item x="318"/>
        <item x="102"/>
        <item x="330"/>
        <item x="325"/>
        <item x="382"/>
        <item x="428"/>
        <item x="218"/>
        <item x="353"/>
        <item x="193"/>
        <item x="222"/>
        <item x="85"/>
        <item x="198"/>
        <item x="165"/>
        <item x="412"/>
        <item x="246"/>
        <item x="420"/>
        <item x="352"/>
        <item x="112"/>
        <item x="313"/>
        <item x="385"/>
        <item x="251"/>
        <item x="32"/>
        <item x="197"/>
        <item x="364"/>
        <item x="346"/>
        <item x="161"/>
        <item x="396"/>
        <item x="228"/>
        <item x="12"/>
        <item x="415"/>
        <item x="207"/>
        <item x="339"/>
        <item x="305"/>
        <item x="394"/>
        <item x="210"/>
        <item x="272"/>
        <item x="124"/>
        <item x="400"/>
        <item x="168"/>
        <item x="398"/>
        <item x="368"/>
        <item x="262"/>
        <item x="126"/>
        <item x="27"/>
        <item x="320"/>
        <item x="209"/>
        <item x="226"/>
        <item x="76"/>
        <item x="61"/>
        <item x="265"/>
        <item x="93"/>
        <item x="390"/>
        <item x="442"/>
        <item x="392"/>
        <item x="199"/>
        <item x="387"/>
        <item x="370"/>
        <item x="399"/>
        <item x="219"/>
        <item x="157"/>
        <item x="405"/>
        <item x="191"/>
        <item x="424"/>
        <item x="220"/>
        <item x="105"/>
        <item x="144"/>
        <item x="186"/>
        <item x="151"/>
        <item x="232"/>
        <item x="292"/>
        <item x="18"/>
        <item x="351"/>
        <item x="381"/>
        <item x="92"/>
        <item x="395"/>
        <item x="369"/>
        <item x="239"/>
        <item x="169"/>
        <item x="130"/>
        <item x="135"/>
        <item x="386"/>
        <item x="104"/>
        <item x="242"/>
        <item x="344"/>
        <item x="278"/>
        <item x="240"/>
        <item x="404"/>
        <item x="153"/>
        <item x="119"/>
        <item x="430"/>
        <item x="206"/>
        <item x="74"/>
        <item x="331"/>
        <item x="44"/>
        <item x="421"/>
        <item x="141"/>
        <item x="237"/>
        <item x="140"/>
        <item x="98"/>
        <item x="162"/>
        <item x="273"/>
        <item x="436"/>
        <item x="25"/>
        <item x="9"/>
        <item x="211"/>
        <item x="397"/>
        <item x="280"/>
        <item x="230"/>
        <item x="297"/>
        <item x="158"/>
        <item x="303"/>
        <item x="176"/>
        <item x="80"/>
        <item x="89"/>
        <item x="148"/>
        <item x="46"/>
        <item x="432"/>
        <item x="311"/>
        <item x="21"/>
        <item x="97"/>
        <item x="50"/>
        <item x="360"/>
        <item x="189"/>
        <item x="253"/>
        <item x="190"/>
        <item x="302"/>
        <item x="100"/>
        <item x="252"/>
        <item x="365"/>
        <item x="248"/>
        <item x="341"/>
        <item x="334"/>
        <item x="448"/>
        <item x="101"/>
        <item x="236"/>
        <item x="113"/>
        <item x="431"/>
        <item x="175"/>
        <item x="11"/>
        <item x="393"/>
        <item x="41"/>
        <item x="115"/>
        <item x="160"/>
        <item x="249"/>
        <item x="142"/>
        <item x="276"/>
        <item x="19"/>
        <item x="359"/>
        <item x="445"/>
        <item x="422"/>
        <item x="48"/>
        <item x="287"/>
        <item x="366"/>
        <item x="132"/>
        <item x="250"/>
        <item x="109"/>
        <item x="349"/>
        <item x="429"/>
        <item x="294"/>
        <item x="182"/>
        <item x="403"/>
        <item x="134"/>
        <item x="72"/>
        <item x="329"/>
        <item x="0"/>
        <item x="373"/>
        <item x="62"/>
        <item x="291"/>
        <item x="23"/>
        <item x="214"/>
        <item x="200"/>
        <item x="121"/>
        <item x="195"/>
        <item x="91"/>
        <item x="70"/>
        <item x="55"/>
        <item x="201"/>
        <item x="371"/>
        <item x="372"/>
        <item x="231"/>
        <item x="347"/>
        <item x="277"/>
        <item x="256"/>
        <item x="66"/>
        <item x="156"/>
        <item x="8"/>
        <item x="166"/>
        <item x="374"/>
        <item x="111"/>
        <item x="260"/>
        <item x="309"/>
        <item x="244"/>
        <item x="427"/>
        <item x="69"/>
        <item x="79"/>
        <item x="345"/>
        <item x="383"/>
        <item x="31"/>
        <item x="229"/>
        <item x="163"/>
        <item x="290"/>
        <item x="68"/>
        <item x="416"/>
        <item x="343"/>
        <item x="300"/>
        <item x="380"/>
        <item x="354"/>
        <item x="24"/>
        <item x="52"/>
        <item x="181"/>
        <item x="443"/>
        <item x="317"/>
        <item x="274"/>
        <item x="411"/>
        <item x="13"/>
        <item t="default"/>
      </items>
    </pivotField>
    <pivotField showAll="0"/>
    <pivotField showAll="0"/>
    <pivotField showAll="0"/>
    <pivotField showAll="0"/>
    <pivotField showAll="0"/>
    <pivotField showAll="0"/>
    <pivotField axis="axisRow" dataField="1" showAll="0">
      <items count="4">
        <item x="1"/>
        <item x="0"/>
        <item h="1"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3">
    <i>
      <x/>
    </i>
    <i>
      <x v="1"/>
    </i>
    <i t="grand">
      <x/>
    </i>
  </rowItems>
  <colItems count="1">
    <i/>
  </colItems>
  <dataFields count="1">
    <dataField name="Count of Compliance"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7254EE-95B7-452E-98C4-74EC5E729921}" name="PivotTable1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5">
  <location ref="AD3:AE9" firstHeaderRow="1" firstDataRow="1" firstDataCol="1"/>
  <pivotFields count="18">
    <pivotField showAll="0"/>
    <pivotField axis="axisRow" showAll="0">
      <items count="6">
        <item x="0"/>
        <item x="3"/>
        <item x="1"/>
        <item x="4"/>
        <item x="2"/>
        <item t="default"/>
      </items>
    </pivotField>
    <pivotField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items count="451">
        <item x="295"/>
        <item x="361"/>
        <item x="127"/>
        <item x="179"/>
        <item x="384"/>
        <item x="29"/>
        <item x="117"/>
        <item x="279"/>
        <item x="224"/>
        <item x="298"/>
        <item x="215"/>
        <item x="174"/>
        <item x="417"/>
        <item x="145"/>
        <item x="314"/>
        <item x="433"/>
        <item x="449"/>
        <item x="20"/>
        <item x="183"/>
        <item x="426"/>
        <item x="2"/>
        <item x="14"/>
        <item x="83"/>
        <item x="306"/>
        <item x="319"/>
        <item x="106"/>
        <item x="54"/>
        <item x="43"/>
        <item x="223"/>
        <item x="147"/>
        <item x="87"/>
        <item x="213"/>
        <item x="172"/>
        <item x="53"/>
        <item x="203"/>
        <item x="152"/>
        <item x="438"/>
        <item x="328"/>
        <item x="180"/>
        <item x="270"/>
        <item x="45"/>
        <item x="378"/>
        <item x="71"/>
        <item x="299"/>
        <item x="149"/>
        <item x="264"/>
        <item x="150"/>
        <item x="216"/>
        <item x="57"/>
        <item x="37"/>
        <item x="10"/>
        <item x="212"/>
        <item x="39"/>
        <item x="202"/>
        <item x="15"/>
        <item x="58"/>
        <item x="284"/>
        <item x="131"/>
        <item x="204"/>
        <item x="36"/>
        <item x="7"/>
        <item x="122"/>
        <item x="447"/>
        <item x="1"/>
        <item x="389"/>
        <item x="247"/>
        <item x="336"/>
        <item x="107"/>
        <item x="350"/>
        <item x="340"/>
        <item x="118"/>
        <item x="333"/>
        <item x="170"/>
        <item x="441"/>
        <item x="259"/>
        <item x="155"/>
        <item x="154"/>
        <item x="282"/>
        <item x="391"/>
        <item x="188"/>
        <item x="95"/>
        <item x="268"/>
        <item x="409"/>
        <item x="6"/>
        <item x="376"/>
        <item x="137"/>
        <item x="304"/>
        <item x="301"/>
        <item x="110"/>
        <item x="241"/>
        <item x="410"/>
        <item x="233"/>
        <item x="159"/>
        <item x="125"/>
        <item x="271"/>
        <item x="108"/>
        <item x="35"/>
        <item x="139"/>
        <item x="30"/>
        <item x="75"/>
        <item x="73"/>
        <item x="358"/>
        <item x="243"/>
        <item x="129"/>
        <item x="315"/>
        <item x="356"/>
        <item x="205"/>
        <item x="324"/>
        <item x="440"/>
        <item x="342"/>
        <item x="136"/>
        <item x="194"/>
        <item x="379"/>
        <item x="51"/>
        <item x="234"/>
        <item x="289"/>
        <item x="22"/>
        <item x="375"/>
        <item x="221"/>
        <item x="255"/>
        <item x="308"/>
        <item x="90"/>
        <item x="423"/>
        <item x="414"/>
        <item x="363"/>
        <item x="266"/>
        <item x="26"/>
        <item x="88"/>
        <item x="56"/>
        <item x="187"/>
        <item x="177"/>
        <item x="178"/>
        <item x="5"/>
        <item x="323"/>
        <item x="16"/>
        <item x="81"/>
        <item x="312"/>
        <item x="17"/>
        <item x="408"/>
        <item x="146"/>
        <item x="406"/>
        <item x="217"/>
        <item x="185"/>
        <item x="245"/>
        <item x="293"/>
        <item x="171"/>
        <item x="4"/>
        <item x="96"/>
        <item x="116"/>
        <item x="192"/>
        <item x="444"/>
        <item x="402"/>
        <item x="377"/>
        <item x="439"/>
        <item x="258"/>
        <item x="388"/>
        <item x="283"/>
        <item x="67"/>
        <item x="128"/>
        <item x="267"/>
        <item x="401"/>
        <item x="78"/>
        <item x="120"/>
        <item x="254"/>
        <item x="94"/>
        <item x="42"/>
        <item x="99"/>
        <item x="327"/>
        <item x="316"/>
        <item x="335"/>
        <item x="425"/>
        <item x="285"/>
        <item x="86"/>
        <item x="208"/>
        <item x="407"/>
        <item x="28"/>
        <item x="3"/>
        <item x="47"/>
        <item x="34"/>
        <item x="60"/>
        <item x="286"/>
        <item x="227"/>
        <item x="419"/>
        <item x="281"/>
        <item x="362"/>
        <item x="261"/>
        <item x="123"/>
        <item x="235"/>
        <item x="355"/>
        <item x="275"/>
        <item x="338"/>
        <item x="164"/>
        <item x="133"/>
        <item x="446"/>
        <item x="322"/>
        <item x="263"/>
        <item x="257"/>
        <item x="143"/>
        <item x="238"/>
        <item x="326"/>
        <item x="367"/>
        <item x="84"/>
        <item x="348"/>
        <item x="82"/>
        <item x="413"/>
        <item x="173"/>
        <item x="296"/>
        <item x="184"/>
        <item x="288"/>
        <item x="33"/>
        <item x="332"/>
        <item x="337"/>
        <item x="269"/>
        <item x="418"/>
        <item x="435"/>
        <item x="65"/>
        <item x="307"/>
        <item x="321"/>
        <item x="437"/>
        <item x="196"/>
        <item x="310"/>
        <item x="40"/>
        <item x="49"/>
        <item x="103"/>
        <item x="138"/>
        <item x="63"/>
        <item x="434"/>
        <item x="167"/>
        <item x="38"/>
        <item x="357"/>
        <item x="64"/>
        <item x="225"/>
        <item x="59"/>
        <item x="114"/>
        <item x="77"/>
        <item x="318"/>
        <item x="102"/>
        <item x="330"/>
        <item x="325"/>
        <item x="382"/>
        <item x="428"/>
        <item x="218"/>
        <item x="353"/>
        <item x="193"/>
        <item x="222"/>
        <item x="85"/>
        <item x="198"/>
        <item x="165"/>
        <item x="412"/>
        <item x="246"/>
        <item x="420"/>
        <item x="352"/>
        <item x="112"/>
        <item x="313"/>
        <item x="385"/>
        <item x="251"/>
        <item x="32"/>
        <item x="197"/>
        <item x="364"/>
        <item x="346"/>
        <item x="161"/>
        <item x="396"/>
        <item x="228"/>
        <item x="12"/>
        <item x="415"/>
        <item x="207"/>
        <item x="339"/>
        <item x="305"/>
        <item x="394"/>
        <item x="210"/>
        <item x="272"/>
        <item x="124"/>
        <item x="400"/>
        <item x="168"/>
        <item x="398"/>
        <item x="368"/>
        <item x="262"/>
        <item x="126"/>
        <item x="27"/>
        <item x="320"/>
        <item x="209"/>
        <item x="226"/>
        <item x="76"/>
        <item x="61"/>
        <item x="265"/>
        <item x="93"/>
        <item x="390"/>
        <item x="442"/>
        <item x="392"/>
        <item x="199"/>
        <item x="387"/>
        <item x="370"/>
        <item x="399"/>
        <item x="219"/>
        <item x="157"/>
        <item x="405"/>
        <item x="191"/>
        <item x="424"/>
        <item x="220"/>
        <item x="105"/>
        <item x="144"/>
        <item x="186"/>
        <item x="151"/>
        <item x="232"/>
        <item x="292"/>
        <item x="18"/>
        <item x="351"/>
        <item x="381"/>
        <item x="92"/>
        <item x="395"/>
        <item x="369"/>
        <item x="239"/>
        <item x="169"/>
        <item x="130"/>
        <item x="135"/>
        <item x="386"/>
        <item x="104"/>
        <item x="242"/>
        <item x="344"/>
        <item x="278"/>
        <item x="240"/>
        <item x="404"/>
        <item x="153"/>
        <item x="119"/>
        <item x="430"/>
        <item x="206"/>
        <item x="74"/>
        <item x="331"/>
        <item x="44"/>
        <item x="421"/>
        <item x="141"/>
        <item x="237"/>
        <item x="140"/>
        <item x="98"/>
        <item x="162"/>
        <item x="273"/>
        <item x="436"/>
        <item x="25"/>
        <item x="9"/>
        <item x="211"/>
        <item x="397"/>
        <item x="280"/>
        <item x="230"/>
        <item x="297"/>
        <item x="158"/>
        <item x="303"/>
        <item x="176"/>
        <item x="80"/>
        <item x="89"/>
        <item x="148"/>
        <item x="46"/>
        <item x="432"/>
        <item x="311"/>
        <item x="21"/>
        <item x="97"/>
        <item x="50"/>
        <item x="360"/>
        <item x="189"/>
        <item x="253"/>
        <item x="190"/>
        <item x="302"/>
        <item x="100"/>
        <item x="252"/>
        <item x="365"/>
        <item x="248"/>
        <item x="341"/>
        <item x="334"/>
        <item x="448"/>
        <item x="101"/>
        <item x="236"/>
        <item x="113"/>
        <item x="431"/>
        <item x="175"/>
        <item x="11"/>
        <item x="393"/>
        <item x="41"/>
        <item x="115"/>
        <item x="160"/>
        <item x="249"/>
        <item x="142"/>
        <item x="276"/>
        <item x="19"/>
        <item x="359"/>
        <item x="445"/>
        <item x="422"/>
        <item x="48"/>
        <item x="287"/>
        <item x="366"/>
        <item x="132"/>
        <item x="250"/>
        <item x="109"/>
        <item x="349"/>
        <item x="429"/>
        <item x="294"/>
        <item x="182"/>
        <item x="403"/>
        <item x="134"/>
        <item x="72"/>
        <item x="329"/>
        <item x="0"/>
        <item x="373"/>
        <item x="62"/>
        <item x="291"/>
        <item x="23"/>
        <item x="214"/>
        <item x="200"/>
        <item x="121"/>
        <item x="195"/>
        <item x="91"/>
        <item x="70"/>
        <item x="55"/>
        <item x="201"/>
        <item x="371"/>
        <item x="372"/>
        <item x="231"/>
        <item x="347"/>
        <item x="277"/>
        <item x="256"/>
        <item x="66"/>
        <item x="156"/>
        <item x="8"/>
        <item x="166"/>
        <item x="374"/>
        <item x="111"/>
        <item x="260"/>
        <item x="309"/>
        <item x="244"/>
        <item x="427"/>
        <item x="69"/>
        <item x="79"/>
        <item x="345"/>
        <item x="383"/>
        <item x="31"/>
        <item x="229"/>
        <item x="163"/>
        <item x="290"/>
        <item x="68"/>
        <item x="416"/>
        <item x="343"/>
        <item x="300"/>
        <item x="380"/>
        <item x="354"/>
        <item x="24"/>
        <item x="52"/>
        <item x="181"/>
        <item x="443"/>
        <item x="317"/>
        <item x="274"/>
        <item x="411"/>
        <item x="13"/>
        <item t="default"/>
      </items>
    </pivotField>
    <pivotField showAll="0">
      <items count="6">
        <item x="4"/>
        <item x="1"/>
        <item x="0"/>
        <item x="2"/>
        <item x="3"/>
        <item t="default"/>
      </items>
    </pivotField>
    <pivotField showAll="0"/>
    <pivotField showAll="0"/>
    <pivotField showAll="0"/>
    <pivotField showAll="0"/>
    <pivotField showAll="0"/>
    <pivotField showAll="0"/>
    <pivotField showAll="0"/>
    <pivotField showAll="0"/>
    <pivotField numFmtId="9"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6">
    <i>
      <x/>
    </i>
    <i>
      <x v="1"/>
    </i>
    <i>
      <x v="2"/>
    </i>
    <i>
      <x v="3"/>
    </i>
    <i>
      <x v="4"/>
    </i>
    <i t="grand">
      <x/>
    </i>
  </rowItems>
  <colItems count="1">
    <i/>
  </colItems>
  <dataFields count="1">
    <dataField name="Sum of Total Cost Savings" fld="14" baseField="0" baseItem="0"/>
  </dataFields>
  <formats count="1">
    <format dxfId="46">
      <pivotArea outline="0" collapsedLevelsAreSubtotals="1" fieldPosition="0"/>
    </format>
  </formats>
  <chartFormats count="2">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B0E135-5DFB-4B05-AC72-F36A4859BB2C}" name="PivotTable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G3:M10" firstHeaderRow="1" firstDataRow="2" firstDataCol="1"/>
  <pivotFields count="18">
    <pivotField showAll="0"/>
    <pivotField axis="axisRow" showAll="0">
      <items count="6">
        <item x="0"/>
        <item x="3"/>
        <item x="1"/>
        <item x="4"/>
        <item x="2"/>
        <item t="default"/>
      </items>
    </pivotField>
    <pivotField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items count="451">
        <item x="295"/>
        <item x="361"/>
        <item x="127"/>
        <item x="179"/>
        <item x="384"/>
        <item x="29"/>
        <item x="117"/>
        <item x="279"/>
        <item x="224"/>
        <item x="298"/>
        <item x="215"/>
        <item x="174"/>
        <item x="417"/>
        <item x="145"/>
        <item x="314"/>
        <item x="433"/>
        <item x="449"/>
        <item x="20"/>
        <item x="183"/>
        <item x="426"/>
        <item x="2"/>
        <item x="14"/>
        <item x="83"/>
        <item x="306"/>
        <item x="319"/>
        <item x="106"/>
        <item x="54"/>
        <item x="43"/>
        <item x="223"/>
        <item x="147"/>
        <item x="87"/>
        <item x="213"/>
        <item x="172"/>
        <item x="53"/>
        <item x="203"/>
        <item x="152"/>
        <item x="438"/>
        <item x="328"/>
        <item x="180"/>
        <item x="270"/>
        <item x="45"/>
        <item x="378"/>
        <item x="71"/>
        <item x="299"/>
        <item x="149"/>
        <item x="264"/>
        <item x="150"/>
        <item x="216"/>
        <item x="57"/>
        <item x="37"/>
        <item x="10"/>
        <item x="212"/>
        <item x="39"/>
        <item x="202"/>
        <item x="15"/>
        <item x="58"/>
        <item x="284"/>
        <item x="131"/>
        <item x="204"/>
        <item x="36"/>
        <item x="7"/>
        <item x="122"/>
        <item x="447"/>
        <item x="1"/>
        <item x="389"/>
        <item x="247"/>
        <item x="336"/>
        <item x="107"/>
        <item x="350"/>
        <item x="340"/>
        <item x="118"/>
        <item x="333"/>
        <item x="170"/>
        <item x="441"/>
        <item x="259"/>
        <item x="155"/>
        <item x="154"/>
        <item x="282"/>
        <item x="391"/>
        <item x="188"/>
        <item x="95"/>
        <item x="268"/>
        <item x="409"/>
        <item x="6"/>
        <item x="376"/>
        <item x="137"/>
        <item x="304"/>
        <item x="301"/>
        <item x="110"/>
        <item x="241"/>
        <item x="410"/>
        <item x="233"/>
        <item x="159"/>
        <item x="125"/>
        <item x="271"/>
        <item x="108"/>
        <item x="35"/>
        <item x="139"/>
        <item x="30"/>
        <item x="75"/>
        <item x="73"/>
        <item x="358"/>
        <item x="243"/>
        <item x="129"/>
        <item x="315"/>
        <item x="356"/>
        <item x="205"/>
        <item x="324"/>
        <item x="440"/>
        <item x="342"/>
        <item x="136"/>
        <item x="194"/>
        <item x="379"/>
        <item x="51"/>
        <item x="234"/>
        <item x="289"/>
        <item x="22"/>
        <item x="375"/>
        <item x="221"/>
        <item x="255"/>
        <item x="308"/>
        <item x="90"/>
        <item x="423"/>
        <item x="414"/>
        <item x="363"/>
        <item x="266"/>
        <item x="26"/>
        <item x="88"/>
        <item x="56"/>
        <item x="187"/>
        <item x="177"/>
        <item x="178"/>
        <item x="5"/>
        <item x="323"/>
        <item x="16"/>
        <item x="81"/>
        <item x="312"/>
        <item x="17"/>
        <item x="408"/>
        <item x="146"/>
        <item x="406"/>
        <item x="217"/>
        <item x="185"/>
        <item x="245"/>
        <item x="293"/>
        <item x="171"/>
        <item x="4"/>
        <item x="96"/>
        <item x="116"/>
        <item x="192"/>
        <item x="444"/>
        <item x="402"/>
        <item x="377"/>
        <item x="439"/>
        <item x="258"/>
        <item x="388"/>
        <item x="283"/>
        <item x="67"/>
        <item x="128"/>
        <item x="267"/>
        <item x="401"/>
        <item x="78"/>
        <item x="120"/>
        <item x="254"/>
        <item x="94"/>
        <item x="42"/>
        <item x="99"/>
        <item x="327"/>
        <item x="316"/>
        <item x="335"/>
        <item x="425"/>
        <item x="285"/>
        <item x="86"/>
        <item x="208"/>
        <item x="407"/>
        <item x="28"/>
        <item x="3"/>
        <item x="47"/>
        <item x="34"/>
        <item x="60"/>
        <item x="286"/>
        <item x="227"/>
        <item x="419"/>
        <item x="281"/>
        <item x="362"/>
        <item x="261"/>
        <item x="123"/>
        <item x="235"/>
        <item x="355"/>
        <item x="275"/>
        <item x="338"/>
        <item x="164"/>
        <item x="133"/>
        <item x="446"/>
        <item x="322"/>
        <item x="263"/>
        <item x="257"/>
        <item x="143"/>
        <item x="238"/>
        <item x="326"/>
        <item x="367"/>
        <item x="84"/>
        <item x="348"/>
        <item x="82"/>
        <item x="413"/>
        <item x="173"/>
        <item x="296"/>
        <item x="184"/>
        <item x="288"/>
        <item x="33"/>
        <item x="332"/>
        <item x="337"/>
        <item x="269"/>
        <item x="418"/>
        <item x="435"/>
        <item x="65"/>
        <item x="307"/>
        <item x="321"/>
        <item x="437"/>
        <item x="196"/>
        <item x="310"/>
        <item x="40"/>
        <item x="49"/>
        <item x="103"/>
        <item x="138"/>
        <item x="63"/>
        <item x="434"/>
        <item x="167"/>
        <item x="38"/>
        <item x="357"/>
        <item x="64"/>
        <item x="225"/>
        <item x="59"/>
        <item x="114"/>
        <item x="77"/>
        <item x="318"/>
        <item x="102"/>
        <item x="330"/>
        <item x="325"/>
        <item x="382"/>
        <item x="428"/>
        <item x="218"/>
        <item x="353"/>
        <item x="193"/>
        <item x="222"/>
        <item x="85"/>
        <item x="198"/>
        <item x="165"/>
        <item x="412"/>
        <item x="246"/>
        <item x="420"/>
        <item x="352"/>
        <item x="112"/>
        <item x="313"/>
        <item x="385"/>
        <item x="251"/>
        <item x="32"/>
        <item x="197"/>
        <item x="364"/>
        <item x="346"/>
        <item x="161"/>
        <item x="396"/>
        <item x="228"/>
        <item x="12"/>
        <item x="415"/>
        <item x="207"/>
        <item x="339"/>
        <item x="305"/>
        <item x="394"/>
        <item x="210"/>
        <item x="272"/>
        <item x="124"/>
        <item x="400"/>
        <item x="168"/>
        <item x="398"/>
        <item x="368"/>
        <item x="262"/>
        <item x="126"/>
        <item x="27"/>
        <item x="320"/>
        <item x="209"/>
        <item x="226"/>
        <item x="76"/>
        <item x="61"/>
        <item x="265"/>
        <item x="93"/>
        <item x="390"/>
        <item x="442"/>
        <item x="392"/>
        <item x="199"/>
        <item x="387"/>
        <item x="370"/>
        <item x="399"/>
        <item x="219"/>
        <item x="157"/>
        <item x="405"/>
        <item x="191"/>
        <item x="424"/>
        <item x="220"/>
        <item x="105"/>
        <item x="144"/>
        <item x="186"/>
        <item x="151"/>
        <item x="232"/>
        <item x="292"/>
        <item x="18"/>
        <item x="351"/>
        <item x="381"/>
        <item x="92"/>
        <item x="395"/>
        <item x="369"/>
        <item x="239"/>
        <item x="169"/>
        <item x="130"/>
        <item x="135"/>
        <item x="386"/>
        <item x="104"/>
        <item x="242"/>
        <item x="344"/>
        <item x="278"/>
        <item x="240"/>
        <item x="404"/>
        <item x="153"/>
        <item x="119"/>
        <item x="430"/>
        <item x="206"/>
        <item x="74"/>
        <item x="331"/>
        <item x="44"/>
        <item x="421"/>
        <item x="141"/>
        <item x="237"/>
        <item x="140"/>
        <item x="98"/>
        <item x="162"/>
        <item x="273"/>
        <item x="436"/>
        <item x="25"/>
        <item x="9"/>
        <item x="211"/>
        <item x="397"/>
        <item x="280"/>
        <item x="230"/>
        <item x="297"/>
        <item x="158"/>
        <item x="303"/>
        <item x="176"/>
        <item x="80"/>
        <item x="89"/>
        <item x="148"/>
        <item x="46"/>
        <item x="432"/>
        <item x="311"/>
        <item x="21"/>
        <item x="97"/>
        <item x="50"/>
        <item x="360"/>
        <item x="189"/>
        <item x="253"/>
        <item x="190"/>
        <item x="302"/>
        <item x="100"/>
        <item x="252"/>
        <item x="365"/>
        <item x="248"/>
        <item x="341"/>
        <item x="334"/>
        <item x="448"/>
        <item x="101"/>
        <item x="236"/>
        <item x="113"/>
        <item x="431"/>
        <item x="175"/>
        <item x="11"/>
        <item x="393"/>
        <item x="41"/>
        <item x="115"/>
        <item x="160"/>
        <item x="249"/>
        <item x="142"/>
        <item x="276"/>
        <item x="19"/>
        <item x="359"/>
        <item x="445"/>
        <item x="422"/>
        <item x="48"/>
        <item x="287"/>
        <item x="366"/>
        <item x="132"/>
        <item x="250"/>
        <item x="109"/>
        <item x="349"/>
        <item x="429"/>
        <item x="294"/>
        <item x="182"/>
        <item x="403"/>
        <item x="134"/>
        <item x="72"/>
        <item x="329"/>
        <item x="0"/>
        <item x="373"/>
        <item x="62"/>
        <item x="291"/>
        <item x="23"/>
        <item x="214"/>
        <item x="200"/>
        <item x="121"/>
        <item x="195"/>
        <item x="91"/>
        <item x="70"/>
        <item x="55"/>
        <item x="201"/>
        <item x="371"/>
        <item x="372"/>
        <item x="231"/>
        <item x="347"/>
        <item x="277"/>
        <item x="256"/>
        <item x="66"/>
        <item x="156"/>
        <item x="8"/>
        <item x="166"/>
        <item x="374"/>
        <item x="111"/>
        <item x="260"/>
        <item x="309"/>
        <item x="244"/>
        <item x="427"/>
        <item x="69"/>
        <item x="79"/>
        <item x="345"/>
        <item x="383"/>
        <item x="31"/>
        <item x="229"/>
        <item x="163"/>
        <item x="290"/>
        <item x="68"/>
        <item x="416"/>
        <item x="343"/>
        <item x="300"/>
        <item x="380"/>
        <item x="354"/>
        <item x="24"/>
        <item x="52"/>
        <item x="181"/>
        <item x="443"/>
        <item x="317"/>
        <item x="274"/>
        <item x="411"/>
        <item x="13"/>
        <item t="default"/>
      </items>
    </pivotField>
    <pivotField axis="axisCol" dataField="1" showAll="0">
      <items count="6">
        <item x="4"/>
        <item x="1"/>
        <item x="0"/>
        <item x="2"/>
        <item x="3"/>
        <item t="default"/>
      </items>
    </pivotField>
    <pivotField showAll="0"/>
    <pivotField showAll="0"/>
    <pivotField showAll="0"/>
    <pivotField showAll="0"/>
    <pivotField showAll="0"/>
    <pivotField showAll="0"/>
    <pivotField showAll="0"/>
    <pivotField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6">
    <i>
      <x/>
    </i>
    <i>
      <x v="1"/>
    </i>
    <i>
      <x v="2"/>
    </i>
    <i>
      <x v="3"/>
    </i>
    <i>
      <x v="4"/>
    </i>
    <i t="grand">
      <x/>
    </i>
  </rowItems>
  <colFields count="1">
    <field x="4"/>
  </colFields>
  <colItems count="6">
    <i>
      <x/>
    </i>
    <i>
      <x v="1"/>
    </i>
    <i>
      <x v="2"/>
    </i>
    <i>
      <x v="3"/>
    </i>
    <i>
      <x v="4"/>
    </i>
    <i t="grand">
      <x/>
    </i>
  </colItems>
  <dataFields count="1">
    <dataField name="Count of Item_Category" fld="4" subtotal="count" baseField="0" baseItem="0"/>
  </dataFields>
  <chartFormats count="10">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3" format="10" series="1">
      <pivotArea type="data" outline="0" fieldPosition="0">
        <references count="2">
          <reference field="4294967294" count="1" selected="0">
            <x v="0"/>
          </reference>
          <reference field="4" count="1" selected="0">
            <x v="0"/>
          </reference>
        </references>
      </pivotArea>
    </chartFormat>
    <chartFormat chart="3" format="11" series="1">
      <pivotArea type="data" outline="0" fieldPosition="0">
        <references count="2">
          <reference field="4294967294" count="1" selected="0">
            <x v="0"/>
          </reference>
          <reference field="4" count="1" selected="0">
            <x v="1"/>
          </reference>
        </references>
      </pivotArea>
    </chartFormat>
    <chartFormat chart="3" format="12" series="1">
      <pivotArea type="data" outline="0" fieldPosition="0">
        <references count="2">
          <reference field="4294967294" count="1" selected="0">
            <x v="0"/>
          </reference>
          <reference field="4" count="1" selected="0">
            <x v="2"/>
          </reference>
        </references>
      </pivotArea>
    </chartFormat>
    <chartFormat chart="3" format="13" series="1">
      <pivotArea type="data" outline="0" fieldPosition="0">
        <references count="2">
          <reference field="4294967294" count="1" selected="0">
            <x v="0"/>
          </reference>
          <reference field="4" count="1" selected="0">
            <x v="3"/>
          </reference>
        </references>
      </pivotArea>
    </chartFormat>
    <chartFormat chart="3" format="1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BA256E-D5BA-411A-8C1E-35FD3E343D81}"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16:B21" firstHeaderRow="1" firstDataRow="1" firstDataCol="1"/>
  <pivotFields count="18">
    <pivotField dataField="1" showAll="0"/>
    <pivotField showAll="0">
      <items count="6">
        <item x="0"/>
        <item x="3"/>
        <item x="1"/>
        <item x="4"/>
        <item x="2"/>
        <item t="default"/>
      </items>
    </pivotField>
    <pivotField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items count="451">
        <item x="295"/>
        <item x="361"/>
        <item x="127"/>
        <item x="179"/>
        <item x="384"/>
        <item x="29"/>
        <item x="117"/>
        <item x="279"/>
        <item x="224"/>
        <item x="298"/>
        <item x="215"/>
        <item x="174"/>
        <item x="417"/>
        <item x="145"/>
        <item x="314"/>
        <item x="433"/>
        <item x="449"/>
        <item x="20"/>
        <item x="183"/>
        <item x="426"/>
        <item x="2"/>
        <item x="14"/>
        <item x="83"/>
        <item x="306"/>
        <item x="319"/>
        <item x="106"/>
        <item x="54"/>
        <item x="43"/>
        <item x="223"/>
        <item x="147"/>
        <item x="87"/>
        <item x="213"/>
        <item x="172"/>
        <item x="53"/>
        <item x="203"/>
        <item x="152"/>
        <item x="438"/>
        <item x="328"/>
        <item x="180"/>
        <item x="270"/>
        <item x="45"/>
        <item x="378"/>
        <item x="71"/>
        <item x="299"/>
        <item x="149"/>
        <item x="264"/>
        <item x="150"/>
        <item x="216"/>
        <item x="57"/>
        <item x="37"/>
        <item x="10"/>
        <item x="212"/>
        <item x="39"/>
        <item x="202"/>
        <item x="15"/>
        <item x="58"/>
        <item x="284"/>
        <item x="131"/>
        <item x="204"/>
        <item x="36"/>
        <item x="7"/>
        <item x="122"/>
        <item x="447"/>
        <item x="1"/>
        <item x="389"/>
        <item x="247"/>
        <item x="336"/>
        <item x="107"/>
        <item x="350"/>
        <item x="340"/>
        <item x="118"/>
        <item x="333"/>
        <item x="170"/>
        <item x="441"/>
        <item x="259"/>
        <item x="155"/>
        <item x="154"/>
        <item x="282"/>
        <item x="391"/>
        <item x="188"/>
        <item x="95"/>
        <item x="268"/>
        <item x="409"/>
        <item x="6"/>
        <item x="376"/>
        <item x="137"/>
        <item x="304"/>
        <item x="301"/>
        <item x="110"/>
        <item x="241"/>
        <item x="410"/>
        <item x="233"/>
        <item x="159"/>
        <item x="125"/>
        <item x="271"/>
        <item x="108"/>
        <item x="35"/>
        <item x="139"/>
        <item x="30"/>
        <item x="75"/>
        <item x="73"/>
        <item x="358"/>
        <item x="243"/>
        <item x="129"/>
        <item x="315"/>
        <item x="356"/>
        <item x="205"/>
        <item x="324"/>
        <item x="440"/>
        <item x="342"/>
        <item x="136"/>
        <item x="194"/>
        <item x="379"/>
        <item x="51"/>
        <item x="234"/>
        <item x="289"/>
        <item x="22"/>
        <item x="375"/>
        <item x="221"/>
        <item x="255"/>
        <item x="308"/>
        <item x="90"/>
        <item x="423"/>
        <item x="414"/>
        <item x="363"/>
        <item x="266"/>
        <item x="26"/>
        <item x="88"/>
        <item x="56"/>
        <item x="187"/>
        <item x="177"/>
        <item x="178"/>
        <item x="5"/>
        <item x="323"/>
        <item x="16"/>
        <item x="81"/>
        <item x="312"/>
        <item x="17"/>
        <item x="408"/>
        <item x="146"/>
        <item x="406"/>
        <item x="217"/>
        <item x="185"/>
        <item x="245"/>
        <item x="293"/>
        <item x="171"/>
        <item x="4"/>
        <item x="96"/>
        <item x="116"/>
        <item x="192"/>
        <item x="444"/>
        <item x="402"/>
        <item x="377"/>
        <item x="439"/>
        <item x="258"/>
        <item x="388"/>
        <item x="283"/>
        <item x="67"/>
        <item x="128"/>
        <item x="267"/>
        <item x="401"/>
        <item x="78"/>
        <item x="120"/>
        <item x="254"/>
        <item x="94"/>
        <item x="42"/>
        <item x="99"/>
        <item x="327"/>
        <item x="316"/>
        <item x="335"/>
        <item x="425"/>
        <item x="285"/>
        <item x="86"/>
        <item x="208"/>
        <item x="407"/>
        <item x="28"/>
        <item x="3"/>
        <item x="47"/>
        <item x="34"/>
        <item x="60"/>
        <item x="286"/>
        <item x="227"/>
        <item x="419"/>
        <item x="281"/>
        <item x="362"/>
        <item x="261"/>
        <item x="123"/>
        <item x="235"/>
        <item x="355"/>
        <item x="275"/>
        <item x="338"/>
        <item x="164"/>
        <item x="133"/>
        <item x="446"/>
        <item x="322"/>
        <item x="263"/>
        <item x="257"/>
        <item x="143"/>
        <item x="238"/>
        <item x="326"/>
        <item x="367"/>
        <item x="84"/>
        <item x="348"/>
        <item x="82"/>
        <item x="413"/>
        <item x="173"/>
        <item x="296"/>
        <item x="184"/>
        <item x="288"/>
        <item x="33"/>
        <item x="332"/>
        <item x="337"/>
        <item x="269"/>
        <item x="418"/>
        <item x="435"/>
        <item x="65"/>
        <item x="307"/>
        <item x="321"/>
        <item x="437"/>
        <item x="196"/>
        <item x="310"/>
        <item x="40"/>
        <item x="49"/>
        <item x="103"/>
        <item x="138"/>
        <item x="63"/>
        <item x="434"/>
        <item x="167"/>
        <item x="38"/>
        <item x="357"/>
        <item x="64"/>
        <item x="225"/>
        <item x="59"/>
        <item x="114"/>
        <item x="77"/>
        <item x="318"/>
        <item x="102"/>
        <item x="330"/>
        <item x="325"/>
        <item x="382"/>
        <item x="428"/>
        <item x="218"/>
        <item x="353"/>
        <item x="193"/>
        <item x="222"/>
        <item x="85"/>
        <item x="198"/>
        <item x="165"/>
        <item x="412"/>
        <item x="246"/>
        <item x="420"/>
        <item x="352"/>
        <item x="112"/>
        <item x="313"/>
        <item x="385"/>
        <item x="251"/>
        <item x="32"/>
        <item x="197"/>
        <item x="364"/>
        <item x="346"/>
        <item x="161"/>
        <item x="396"/>
        <item x="228"/>
        <item x="12"/>
        <item x="415"/>
        <item x="207"/>
        <item x="339"/>
        <item x="305"/>
        <item x="394"/>
        <item x="210"/>
        <item x="272"/>
        <item x="124"/>
        <item x="400"/>
        <item x="168"/>
        <item x="398"/>
        <item x="368"/>
        <item x="262"/>
        <item x="126"/>
        <item x="27"/>
        <item x="320"/>
        <item x="209"/>
        <item x="226"/>
        <item x="76"/>
        <item x="61"/>
        <item x="265"/>
        <item x="93"/>
        <item x="390"/>
        <item x="442"/>
        <item x="392"/>
        <item x="199"/>
        <item x="387"/>
        <item x="370"/>
        <item x="399"/>
        <item x="219"/>
        <item x="157"/>
        <item x="405"/>
        <item x="191"/>
        <item x="424"/>
        <item x="220"/>
        <item x="105"/>
        <item x="144"/>
        <item x="186"/>
        <item x="151"/>
        <item x="232"/>
        <item x="292"/>
        <item x="18"/>
        <item x="351"/>
        <item x="381"/>
        <item x="92"/>
        <item x="395"/>
        <item x="369"/>
        <item x="239"/>
        <item x="169"/>
        <item x="130"/>
        <item x="135"/>
        <item x="386"/>
        <item x="104"/>
        <item x="242"/>
        <item x="344"/>
        <item x="278"/>
        <item x="240"/>
        <item x="404"/>
        <item x="153"/>
        <item x="119"/>
        <item x="430"/>
        <item x="206"/>
        <item x="74"/>
        <item x="331"/>
        <item x="44"/>
        <item x="421"/>
        <item x="141"/>
        <item x="237"/>
        <item x="140"/>
        <item x="98"/>
        <item x="162"/>
        <item x="273"/>
        <item x="436"/>
        <item x="25"/>
        <item x="9"/>
        <item x="211"/>
        <item x="397"/>
        <item x="280"/>
        <item x="230"/>
        <item x="297"/>
        <item x="158"/>
        <item x="303"/>
        <item x="176"/>
        <item x="80"/>
        <item x="89"/>
        <item x="148"/>
        <item x="46"/>
        <item x="432"/>
        <item x="311"/>
        <item x="21"/>
        <item x="97"/>
        <item x="50"/>
        <item x="360"/>
        <item x="189"/>
        <item x="253"/>
        <item x="190"/>
        <item x="302"/>
        <item x="100"/>
        <item x="252"/>
        <item x="365"/>
        <item x="248"/>
        <item x="341"/>
        <item x="334"/>
        <item x="448"/>
        <item x="101"/>
        <item x="236"/>
        <item x="113"/>
        <item x="431"/>
        <item x="175"/>
        <item x="11"/>
        <item x="393"/>
        <item x="41"/>
        <item x="115"/>
        <item x="160"/>
        <item x="249"/>
        <item x="142"/>
        <item x="276"/>
        <item x="19"/>
        <item x="359"/>
        <item x="445"/>
        <item x="422"/>
        <item x="48"/>
        <item x="287"/>
        <item x="366"/>
        <item x="132"/>
        <item x="250"/>
        <item x="109"/>
        <item x="349"/>
        <item x="429"/>
        <item x="294"/>
        <item x="182"/>
        <item x="403"/>
        <item x="134"/>
        <item x="72"/>
        <item x="329"/>
        <item x="0"/>
        <item x="373"/>
        <item x="62"/>
        <item x="291"/>
        <item x="23"/>
        <item x="214"/>
        <item x="200"/>
        <item x="121"/>
        <item x="195"/>
        <item x="91"/>
        <item x="70"/>
        <item x="55"/>
        <item x="201"/>
        <item x="371"/>
        <item x="372"/>
        <item x="231"/>
        <item x="347"/>
        <item x="277"/>
        <item x="256"/>
        <item x="66"/>
        <item x="156"/>
        <item x="8"/>
        <item x="166"/>
        <item x="374"/>
        <item x="111"/>
        <item x="260"/>
        <item x="309"/>
        <item x="244"/>
        <item x="427"/>
        <item x="69"/>
        <item x="79"/>
        <item x="345"/>
        <item x="383"/>
        <item x="31"/>
        <item x="229"/>
        <item x="163"/>
        <item x="290"/>
        <item x="68"/>
        <item x="416"/>
        <item x="343"/>
        <item x="300"/>
        <item x="380"/>
        <item x="354"/>
        <item x="24"/>
        <item x="52"/>
        <item x="181"/>
        <item x="443"/>
        <item x="317"/>
        <item x="274"/>
        <item x="411"/>
        <item x="13"/>
        <item t="default"/>
      </items>
    </pivotField>
    <pivotField showAll="0">
      <items count="6">
        <item x="4"/>
        <item x="1"/>
        <item x="0"/>
        <item x="2"/>
        <item x="3"/>
        <item t="default"/>
      </items>
    </pivotField>
    <pivotField axis="axisRow" showAll="0">
      <items count="5">
        <item x="0"/>
        <item x="1"/>
        <item x="2"/>
        <item x="3"/>
        <item t="default"/>
      </items>
    </pivotField>
    <pivotField showAll="0"/>
    <pivotField showAll="0"/>
    <pivotField showAll="0"/>
    <pivotField showAll="0"/>
    <pivotField showAll="0"/>
    <pivotField showAll="0"/>
    <pivotField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5">
    <i>
      <x/>
    </i>
    <i>
      <x v="1"/>
    </i>
    <i>
      <x v="2"/>
    </i>
    <i>
      <x v="3"/>
    </i>
    <i t="grand">
      <x/>
    </i>
  </rowItems>
  <colItems count="1">
    <i/>
  </colItems>
  <dataFields count="1">
    <dataField name="Count of PO_ID" fld="0" subtotal="count" baseField="0" baseItem="0"/>
  </dataFields>
  <chartFormats count="10">
    <chartFormat chart="6" format="13"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5" count="1" selected="0">
            <x v="1"/>
          </reference>
        </references>
      </pivotArea>
    </chartFormat>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3"/>
          </reference>
        </references>
      </pivotArea>
    </chartFormat>
    <chartFormat chart="6" format="17">
      <pivotArea type="data" outline="0" fieldPosition="0">
        <references count="2">
          <reference field="4294967294" count="1" selected="0">
            <x v="0"/>
          </reference>
          <reference field="5" count="1" selected="0">
            <x v="2"/>
          </reference>
        </references>
      </pivotArea>
    </chartFormat>
    <chartFormat chart="3" format="2">
      <pivotArea type="data" outline="0" fieldPosition="0">
        <references count="2">
          <reference field="4294967294" count="1" selected="0">
            <x v="0"/>
          </reference>
          <reference field="5" count="1" selected="0">
            <x v="0"/>
          </reference>
        </references>
      </pivotArea>
    </chartFormat>
    <chartFormat chart="3" format="3">
      <pivotArea type="data" outline="0" fieldPosition="0">
        <references count="2">
          <reference field="4294967294" count="1" selected="0">
            <x v="0"/>
          </reference>
          <reference field="5" count="1" selected="0">
            <x v="1"/>
          </reference>
        </references>
      </pivotArea>
    </chartFormat>
    <chartFormat chart="3" format="4">
      <pivotArea type="data" outline="0" fieldPosition="0">
        <references count="2">
          <reference field="4294967294" count="1" selected="0">
            <x v="0"/>
          </reference>
          <reference field="5" count="1" selected="0">
            <x v="2"/>
          </reference>
        </references>
      </pivotArea>
    </chartFormat>
    <chartFormat chart="3" format="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237D949-7776-4741-BEA7-4B7A5EC03869}" name="PivotTable10"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8">
  <location ref="P3:Q9" firstHeaderRow="1" firstDataRow="1" firstDataCol="1" rowPageCount="1" colPageCount="1"/>
  <pivotFields count="18">
    <pivotField showAll="0"/>
    <pivotField axis="axisRow" showAll="0" sortType="ascending">
      <items count="6">
        <item x="0"/>
        <item x="3"/>
        <item x="1"/>
        <item x="4"/>
        <item x="2"/>
        <item t="default"/>
      </items>
      <autoSortScope>
        <pivotArea dataOnly="0" outline="0" fieldPosition="0">
          <references count="1">
            <reference field="4294967294" count="1" selected="0">
              <x v="0"/>
            </reference>
          </references>
        </pivotArea>
      </autoSortScope>
    </pivotField>
    <pivotField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items count="451">
        <item x="295"/>
        <item x="361"/>
        <item x="127"/>
        <item x="179"/>
        <item x="384"/>
        <item x="29"/>
        <item x="117"/>
        <item x="279"/>
        <item x="224"/>
        <item x="298"/>
        <item x="215"/>
        <item x="174"/>
        <item x="417"/>
        <item x="145"/>
        <item x="314"/>
        <item x="433"/>
        <item x="449"/>
        <item x="20"/>
        <item x="183"/>
        <item x="426"/>
        <item x="2"/>
        <item x="14"/>
        <item x="83"/>
        <item x="306"/>
        <item x="319"/>
        <item x="106"/>
        <item x="54"/>
        <item x="43"/>
        <item x="223"/>
        <item x="147"/>
        <item x="87"/>
        <item x="213"/>
        <item x="172"/>
        <item x="53"/>
        <item x="203"/>
        <item x="152"/>
        <item x="438"/>
        <item x="328"/>
        <item x="180"/>
        <item x="270"/>
        <item x="45"/>
        <item x="378"/>
        <item x="71"/>
        <item x="299"/>
        <item x="149"/>
        <item x="264"/>
        <item x="150"/>
        <item x="216"/>
        <item x="57"/>
        <item x="37"/>
        <item x="10"/>
        <item x="212"/>
        <item x="39"/>
        <item x="202"/>
        <item x="15"/>
        <item x="58"/>
        <item x="284"/>
        <item x="131"/>
        <item x="204"/>
        <item x="36"/>
        <item x="7"/>
        <item x="122"/>
        <item x="447"/>
        <item x="1"/>
        <item x="389"/>
        <item x="247"/>
        <item x="336"/>
        <item x="107"/>
        <item x="350"/>
        <item x="340"/>
        <item x="118"/>
        <item x="333"/>
        <item x="170"/>
        <item x="441"/>
        <item x="259"/>
        <item x="155"/>
        <item x="154"/>
        <item x="282"/>
        <item x="391"/>
        <item x="188"/>
        <item x="95"/>
        <item x="268"/>
        <item x="409"/>
        <item x="6"/>
        <item x="376"/>
        <item x="137"/>
        <item x="304"/>
        <item x="301"/>
        <item x="110"/>
        <item x="241"/>
        <item x="410"/>
        <item x="233"/>
        <item x="159"/>
        <item x="125"/>
        <item x="271"/>
        <item x="108"/>
        <item x="35"/>
        <item x="139"/>
        <item x="30"/>
        <item x="75"/>
        <item x="73"/>
        <item x="358"/>
        <item x="243"/>
        <item x="129"/>
        <item x="315"/>
        <item x="356"/>
        <item x="205"/>
        <item x="324"/>
        <item x="440"/>
        <item x="342"/>
        <item x="136"/>
        <item x="194"/>
        <item x="379"/>
        <item x="51"/>
        <item x="234"/>
        <item x="289"/>
        <item x="22"/>
        <item x="375"/>
        <item x="221"/>
        <item x="255"/>
        <item x="308"/>
        <item x="90"/>
        <item x="423"/>
        <item x="414"/>
        <item x="363"/>
        <item x="266"/>
        <item x="26"/>
        <item x="88"/>
        <item x="56"/>
        <item x="187"/>
        <item x="177"/>
        <item x="178"/>
        <item x="5"/>
        <item x="323"/>
        <item x="16"/>
        <item x="81"/>
        <item x="312"/>
        <item x="17"/>
        <item x="408"/>
        <item x="146"/>
        <item x="406"/>
        <item x="217"/>
        <item x="185"/>
        <item x="245"/>
        <item x="293"/>
        <item x="171"/>
        <item x="4"/>
        <item x="96"/>
        <item x="116"/>
        <item x="192"/>
        <item x="444"/>
        <item x="402"/>
        <item x="377"/>
        <item x="439"/>
        <item x="258"/>
        <item x="388"/>
        <item x="283"/>
        <item x="67"/>
        <item x="128"/>
        <item x="267"/>
        <item x="401"/>
        <item x="78"/>
        <item x="120"/>
        <item x="254"/>
        <item x="94"/>
        <item x="42"/>
        <item x="99"/>
        <item x="327"/>
        <item x="316"/>
        <item x="335"/>
        <item x="425"/>
        <item x="285"/>
        <item x="86"/>
        <item x="208"/>
        <item x="407"/>
        <item x="28"/>
        <item x="3"/>
        <item x="47"/>
        <item x="34"/>
        <item x="60"/>
        <item x="286"/>
        <item x="227"/>
        <item x="419"/>
        <item x="281"/>
        <item x="362"/>
        <item x="261"/>
        <item x="123"/>
        <item x="235"/>
        <item x="355"/>
        <item x="275"/>
        <item x="338"/>
        <item x="164"/>
        <item x="133"/>
        <item x="446"/>
        <item x="322"/>
        <item x="263"/>
        <item x="257"/>
        <item x="143"/>
        <item x="238"/>
        <item x="326"/>
        <item x="367"/>
        <item x="84"/>
        <item x="348"/>
        <item x="82"/>
        <item x="413"/>
        <item x="173"/>
        <item x="296"/>
        <item x="184"/>
        <item x="288"/>
        <item x="33"/>
        <item x="332"/>
        <item x="337"/>
        <item x="269"/>
        <item x="418"/>
        <item x="435"/>
        <item x="65"/>
        <item x="307"/>
        <item x="321"/>
        <item x="437"/>
        <item x="196"/>
        <item x="310"/>
        <item x="40"/>
        <item x="49"/>
        <item x="103"/>
        <item x="138"/>
        <item x="63"/>
        <item x="434"/>
        <item x="167"/>
        <item x="38"/>
        <item x="357"/>
        <item x="64"/>
        <item x="225"/>
        <item x="59"/>
        <item x="114"/>
        <item x="77"/>
        <item x="318"/>
        <item x="102"/>
        <item x="330"/>
        <item x="325"/>
        <item x="382"/>
        <item x="428"/>
        <item x="218"/>
        <item x="353"/>
        <item x="193"/>
        <item x="222"/>
        <item x="85"/>
        <item x="198"/>
        <item x="165"/>
        <item x="412"/>
        <item x="246"/>
        <item x="420"/>
        <item x="352"/>
        <item x="112"/>
        <item x="313"/>
        <item x="385"/>
        <item x="251"/>
        <item x="32"/>
        <item x="197"/>
        <item x="364"/>
        <item x="346"/>
        <item x="161"/>
        <item x="396"/>
        <item x="228"/>
        <item x="12"/>
        <item x="415"/>
        <item x="207"/>
        <item x="339"/>
        <item x="305"/>
        <item x="394"/>
        <item x="210"/>
        <item x="272"/>
        <item x="124"/>
        <item x="400"/>
        <item x="168"/>
        <item x="398"/>
        <item x="368"/>
        <item x="262"/>
        <item x="126"/>
        <item x="27"/>
        <item x="320"/>
        <item x="209"/>
        <item x="226"/>
        <item x="76"/>
        <item x="61"/>
        <item x="265"/>
        <item x="93"/>
        <item x="390"/>
        <item x="442"/>
        <item x="392"/>
        <item x="199"/>
        <item x="387"/>
        <item x="370"/>
        <item x="399"/>
        <item x="219"/>
        <item x="157"/>
        <item x="405"/>
        <item x="191"/>
        <item x="424"/>
        <item x="220"/>
        <item x="105"/>
        <item x="144"/>
        <item x="186"/>
        <item x="151"/>
        <item x="232"/>
        <item x="292"/>
        <item x="18"/>
        <item x="351"/>
        <item x="381"/>
        <item x="92"/>
        <item x="395"/>
        <item x="369"/>
        <item x="239"/>
        <item x="169"/>
        <item x="130"/>
        <item x="135"/>
        <item x="386"/>
        <item x="104"/>
        <item x="242"/>
        <item x="344"/>
        <item x="278"/>
        <item x="240"/>
        <item x="404"/>
        <item x="153"/>
        <item x="119"/>
        <item x="430"/>
        <item x="206"/>
        <item x="74"/>
        <item x="331"/>
        <item x="44"/>
        <item x="421"/>
        <item x="141"/>
        <item x="237"/>
        <item x="140"/>
        <item x="98"/>
        <item x="162"/>
        <item x="273"/>
        <item x="436"/>
        <item x="25"/>
        <item x="9"/>
        <item x="211"/>
        <item x="397"/>
        <item x="280"/>
        <item x="230"/>
        <item x="297"/>
        <item x="158"/>
        <item x="303"/>
        <item x="176"/>
        <item x="80"/>
        <item x="89"/>
        <item x="148"/>
        <item x="46"/>
        <item x="432"/>
        <item x="311"/>
        <item x="21"/>
        <item x="97"/>
        <item x="50"/>
        <item x="360"/>
        <item x="189"/>
        <item x="253"/>
        <item x="190"/>
        <item x="302"/>
        <item x="100"/>
        <item x="252"/>
        <item x="365"/>
        <item x="248"/>
        <item x="341"/>
        <item x="334"/>
        <item x="448"/>
        <item x="101"/>
        <item x="236"/>
        <item x="113"/>
        <item x="431"/>
        <item x="175"/>
        <item x="11"/>
        <item x="393"/>
        <item x="41"/>
        <item x="115"/>
        <item x="160"/>
        <item x="249"/>
        <item x="142"/>
        <item x="276"/>
        <item x="19"/>
        <item x="359"/>
        <item x="445"/>
        <item x="422"/>
        <item x="48"/>
        <item x="287"/>
        <item x="366"/>
        <item x="132"/>
        <item x="250"/>
        <item x="109"/>
        <item x="349"/>
        <item x="429"/>
        <item x="294"/>
        <item x="182"/>
        <item x="403"/>
        <item x="134"/>
        <item x="72"/>
        <item x="329"/>
        <item x="0"/>
        <item x="373"/>
        <item x="62"/>
        <item x="291"/>
        <item x="23"/>
        <item x="214"/>
        <item x="200"/>
        <item x="121"/>
        <item x="195"/>
        <item x="91"/>
        <item x="70"/>
        <item x="55"/>
        <item x="201"/>
        <item x="371"/>
        <item x="372"/>
        <item x="231"/>
        <item x="347"/>
        <item x="277"/>
        <item x="256"/>
        <item x="66"/>
        <item x="156"/>
        <item x="8"/>
        <item x="166"/>
        <item x="374"/>
        <item x="111"/>
        <item x="260"/>
        <item x="309"/>
        <item x="244"/>
        <item x="427"/>
        <item x="69"/>
        <item x="79"/>
        <item x="345"/>
        <item x="383"/>
        <item x="31"/>
        <item x="229"/>
        <item x="163"/>
        <item x="290"/>
        <item x="68"/>
        <item x="416"/>
        <item x="343"/>
        <item x="300"/>
        <item x="380"/>
        <item x="354"/>
        <item x="24"/>
        <item x="52"/>
        <item x="181"/>
        <item x="443"/>
        <item x="317"/>
        <item x="274"/>
        <item x="411"/>
        <item x="13"/>
        <item t="default"/>
      </items>
    </pivotField>
    <pivotField showAll="0">
      <items count="6">
        <item x="4"/>
        <item x="1"/>
        <item x="0"/>
        <item x="2"/>
        <item x="3"/>
        <item t="default"/>
      </items>
    </pivotField>
    <pivotField axis="axisPage" multipleItemSelectionAllowed="1" showAll="0">
      <items count="5">
        <item h="1" x="0"/>
        <item x="1"/>
        <item x="2"/>
        <item x="3"/>
        <item t="default"/>
      </items>
    </pivotField>
    <pivotField showAll="0"/>
    <pivotField showAll="0"/>
    <pivotField showAll="0"/>
    <pivotField showAll="0"/>
    <pivotField showAll="0"/>
    <pivotField dataField="1" showAll="0"/>
    <pivotField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6">
    <i>
      <x v="4"/>
    </i>
    <i>
      <x/>
    </i>
    <i>
      <x v="2"/>
    </i>
    <i>
      <x v="3"/>
    </i>
    <i>
      <x v="1"/>
    </i>
    <i t="grand">
      <x/>
    </i>
  </rowItems>
  <colItems count="1">
    <i/>
  </colItems>
  <pageFields count="1">
    <pageField fld="5" hier="-1"/>
  </pageFields>
  <dataFields count="1">
    <dataField name="Average of Avg. Delivery Lead Time" fld="11" subtotal="average" baseField="1" baseItem="1" numFmtId="2"/>
  </dataFields>
  <formats count="1">
    <format dxfId="47">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55C6E37-24A9-4CD1-9BA6-B4689B823420}"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24:B27" firstHeaderRow="1" firstDataRow="1" firstDataCol="1"/>
  <pivotFields count="18">
    <pivotField showAll="0"/>
    <pivotField showAll="0">
      <items count="6">
        <item x="0"/>
        <item x="3"/>
        <item x="1"/>
        <item x="4"/>
        <item x="2"/>
        <item t="default"/>
      </items>
    </pivotField>
    <pivotField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items count="451">
        <item x="295"/>
        <item x="361"/>
        <item x="127"/>
        <item x="179"/>
        <item x="384"/>
        <item x="29"/>
        <item x="117"/>
        <item x="279"/>
        <item x="224"/>
        <item x="298"/>
        <item x="215"/>
        <item x="174"/>
        <item x="417"/>
        <item x="145"/>
        <item x="314"/>
        <item x="433"/>
        <item x="449"/>
        <item x="20"/>
        <item x="183"/>
        <item x="426"/>
        <item x="2"/>
        <item x="14"/>
        <item x="83"/>
        <item x="306"/>
        <item x="319"/>
        <item x="106"/>
        <item x="54"/>
        <item x="43"/>
        <item x="223"/>
        <item x="147"/>
        <item x="87"/>
        <item x="213"/>
        <item x="172"/>
        <item x="53"/>
        <item x="203"/>
        <item x="152"/>
        <item x="438"/>
        <item x="328"/>
        <item x="180"/>
        <item x="270"/>
        <item x="45"/>
        <item x="378"/>
        <item x="71"/>
        <item x="299"/>
        <item x="149"/>
        <item x="264"/>
        <item x="150"/>
        <item x="216"/>
        <item x="57"/>
        <item x="37"/>
        <item x="10"/>
        <item x="212"/>
        <item x="39"/>
        <item x="202"/>
        <item x="15"/>
        <item x="58"/>
        <item x="284"/>
        <item x="131"/>
        <item x="204"/>
        <item x="36"/>
        <item x="7"/>
        <item x="122"/>
        <item x="447"/>
        <item x="1"/>
        <item x="389"/>
        <item x="247"/>
        <item x="336"/>
        <item x="107"/>
        <item x="350"/>
        <item x="340"/>
        <item x="118"/>
        <item x="333"/>
        <item x="170"/>
        <item x="441"/>
        <item x="259"/>
        <item x="155"/>
        <item x="154"/>
        <item x="282"/>
        <item x="391"/>
        <item x="188"/>
        <item x="95"/>
        <item x="268"/>
        <item x="409"/>
        <item x="6"/>
        <item x="376"/>
        <item x="137"/>
        <item x="304"/>
        <item x="301"/>
        <item x="110"/>
        <item x="241"/>
        <item x="410"/>
        <item x="233"/>
        <item x="159"/>
        <item x="125"/>
        <item x="271"/>
        <item x="108"/>
        <item x="35"/>
        <item x="139"/>
        <item x="30"/>
        <item x="75"/>
        <item x="73"/>
        <item x="358"/>
        <item x="243"/>
        <item x="129"/>
        <item x="315"/>
        <item x="356"/>
        <item x="205"/>
        <item x="324"/>
        <item x="440"/>
        <item x="342"/>
        <item x="136"/>
        <item x="194"/>
        <item x="379"/>
        <item x="51"/>
        <item x="234"/>
        <item x="289"/>
        <item x="22"/>
        <item x="375"/>
        <item x="221"/>
        <item x="255"/>
        <item x="308"/>
        <item x="90"/>
        <item x="423"/>
        <item x="414"/>
        <item x="363"/>
        <item x="266"/>
        <item x="26"/>
        <item x="88"/>
        <item x="56"/>
        <item x="187"/>
        <item x="177"/>
        <item x="178"/>
        <item x="5"/>
        <item x="323"/>
        <item x="16"/>
        <item x="81"/>
        <item x="312"/>
        <item x="17"/>
        <item x="408"/>
        <item x="146"/>
        <item x="406"/>
        <item x="217"/>
        <item x="185"/>
        <item x="245"/>
        <item x="293"/>
        <item x="171"/>
        <item x="4"/>
        <item x="96"/>
        <item x="116"/>
        <item x="192"/>
        <item x="444"/>
        <item x="402"/>
        <item x="377"/>
        <item x="439"/>
        <item x="258"/>
        <item x="388"/>
        <item x="283"/>
        <item x="67"/>
        <item x="128"/>
        <item x="267"/>
        <item x="401"/>
        <item x="78"/>
        <item x="120"/>
        <item x="254"/>
        <item x="94"/>
        <item x="42"/>
        <item x="99"/>
        <item x="327"/>
        <item x="316"/>
        <item x="335"/>
        <item x="425"/>
        <item x="285"/>
        <item x="86"/>
        <item x="208"/>
        <item x="407"/>
        <item x="28"/>
        <item x="3"/>
        <item x="47"/>
        <item x="34"/>
        <item x="60"/>
        <item x="286"/>
        <item x="227"/>
        <item x="419"/>
        <item x="281"/>
        <item x="362"/>
        <item x="261"/>
        <item x="123"/>
        <item x="235"/>
        <item x="355"/>
        <item x="275"/>
        <item x="338"/>
        <item x="164"/>
        <item x="133"/>
        <item x="446"/>
        <item x="322"/>
        <item x="263"/>
        <item x="257"/>
        <item x="143"/>
        <item x="238"/>
        <item x="326"/>
        <item x="367"/>
        <item x="84"/>
        <item x="348"/>
        <item x="82"/>
        <item x="413"/>
        <item x="173"/>
        <item x="296"/>
        <item x="184"/>
        <item x="288"/>
        <item x="33"/>
        <item x="332"/>
        <item x="337"/>
        <item x="269"/>
        <item x="418"/>
        <item x="435"/>
        <item x="65"/>
        <item x="307"/>
        <item x="321"/>
        <item x="437"/>
        <item x="196"/>
        <item x="310"/>
        <item x="40"/>
        <item x="49"/>
        <item x="103"/>
        <item x="138"/>
        <item x="63"/>
        <item x="434"/>
        <item x="167"/>
        <item x="38"/>
        <item x="357"/>
        <item x="64"/>
        <item x="225"/>
        <item x="59"/>
        <item x="114"/>
        <item x="77"/>
        <item x="318"/>
        <item x="102"/>
        <item x="330"/>
        <item x="325"/>
        <item x="382"/>
        <item x="428"/>
        <item x="218"/>
        <item x="353"/>
        <item x="193"/>
        <item x="222"/>
        <item x="85"/>
        <item x="198"/>
        <item x="165"/>
        <item x="412"/>
        <item x="246"/>
        <item x="420"/>
        <item x="352"/>
        <item x="112"/>
        <item x="313"/>
        <item x="385"/>
        <item x="251"/>
        <item x="32"/>
        <item x="197"/>
        <item x="364"/>
        <item x="346"/>
        <item x="161"/>
        <item x="396"/>
        <item x="228"/>
        <item x="12"/>
        <item x="415"/>
        <item x="207"/>
        <item x="339"/>
        <item x="305"/>
        <item x="394"/>
        <item x="210"/>
        <item x="272"/>
        <item x="124"/>
        <item x="400"/>
        <item x="168"/>
        <item x="398"/>
        <item x="368"/>
        <item x="262"/>
        <item x="126"/>
        <item x="27"/>
        <item x="320"/>
        <item x="209"/>
        <item x="226"/>
        <item x="76"/>
        <item x="61"/>
        <item x="265"/>
        <item x="93"/>
        <item x="390"/>
        <item x="442"/>
        <item x="392"/>
        <item x="199"/>
        <item x="387"/>
        <item x="370"/>
        <item x="399"/>
        <item x="219"/>
        <item x="157"/>
        <item x="405"/>
        <item x="191"/>
        <item x="424"/>
        <item x="220"/>
        <item x="105"/>
        <item x="144"/>
        <item x="186"/>
        <item x="151"/>
        <item x="232"/>
        <item x="292"/>
        <item x="18"/>
        <item x="351"/>
        <item x="381"/>
        <item x="92"/>
        <item x="395"/>
        <item x="369"/>
        <item x="239"/>
        <item x="169"/>
        <item x="130"/>
        <item x="135"/>
        <item x="386"/>
        <item x="104"/>
        <item x="242"/>
        <item x="344"/>
        <item x="278"/>
        <item x="240"/>
        <item x="404"/>
        <item x="153"/>
        <item x="119"/>
        <item x="430"/>
        <item x="206"/>
        <item x="74"/>
        <item x="331"/>
        <item x="44"/>
        <item x="421"/>
        <item x="141"/>
        <item x="237"/>
        <item x="140"/>
        <item x="98"/>
        <item x="162"/>
        <item x="273"/>
        <item x="436"/>
        <item x="25"/>
        <item x="9"/>
        <item x="211"/>
        <item x="397"/>
        <item x="280"/>
        <item x="230"/>
        <item x="297"/>
        <item x="158"/>
        <item x="303"/>
        <item x="176"/>
        <item x="80"/>
        <item x="89"/>
        <item x="148"/>
        <item x="46"/>
        <item x="432"/>
        <item x="311"/>
        <item x="21"/>
        <item x="97"/>
        <item x="50"/>
        <item x="360"/>
        <item x="189"/>
        <item x="253"/>
        <item x="190"/>
        <item x="302"/>
        <item x="100"/>
        <item x="252"/>
        <item x="365"/>
        <item x="248"/>
        <item x="341"/>
        <item x="334"/>
        <item x="448"/>
        <item x="101"/>
        <item x="236"/>
        <item x="113"/>
        <item x="431"/>
        <item x="175"/>
        <item x="11"/>
        <item x="393"/>
        <item x="41"/>
        <item x="115"/>
        <item x="160"/>
        <item x="249"/>
        <item x="142"/>
        <item x="276"/>
        <item x="19"/>
        <item x="359"/>
        <item x="445"/>
        <item x="422"/>
        <item x="48"/>
        <item x="287"/>
        <item x="366"/>
        <item x="132"/>
        <item x="250"/>
        <item x="109"/>
        <item x="349"/>
        <item x="429"/>
        <item x="294"/>
        <item x="182"/>
        <item x="403"/>
        <item x="134"/>
        <item x="72"/>
        <item x="329"/>
        <item x="0"/>
        <item x="373"/>
        <item x="62"/>
        <item x="291"/>
        <item x="23"/>
        <item x="214"/>
        <item x="200"/>
        <item x="121"/>
        <item x="195"/>
        <item x="91"/>
        <item x="70"/>
        <item x="55"/>
        <item x="201"/>
        <item x="371"/>
        <item x="372"/>
        <item x="231"/>
        <item x="347"/>
        <item x="277"/>
        <item x="256"/>
        <item x="66"/>
        <item x="156"/>
        <item x="8"/>
        <item x="166"/>
        <item x="374"/>
        <item x="111"/>
        <item x="260"/>
        <item x="309"/>
        <item x="244"/>
        <item x="427"/>
        <item x="69"/>
        <item x="79"/>
        <item x="345"/>
        <item x="383"/>
        <item x="31"/>
        <item x="229"/>
        <item x="163"/>
        <item x="290"/>
        <item x="68"/>
        <item x="416"/>
        <item x="343"/>
        <item x="300"/>
        <item x="380"/>
        <item x="354"/>
        <item x="24"/>
        <item x="52"/>
        <item x="181"/>
        <item x="443"/>
        <item x="317"/>
        <item x="274"/>
        <item x="411"/>
        <item x="13"/>
        <item t="default"/>
      </items>
    </pivotField>
    <pivotField showAll="0">
      <items count="6">
        <item x="4"/>
        <item x="1"/>
        <item x="0"/>
        <item x="2"/>
        <item x="3"/>
        <item t="default"/>
      </items>
    </pivotField>
    <pivotField showAll="0">
      <items count="5">
        <item x="0"/>
        <item x="1"/>
        <item x="2"/>
        <item x="3"/>
        <item t="default"/>
      </items>
    </pivotField>
    <pivotField showAll="0"/>
    <pivotField showAll="0"/>
    <pivotField showAll="0"/>
    <pivotField showAll="0"/>
    <pivotField axis="axisRow" dataField="1" showAll="0">
      <items count="3">
        <item x="1"/>
        <item x="0"/>
        <item t="default"/>
      </items>
    </pivotField>
    <pivotField showAll="0"/>
    <pivotField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3">
    <i>
      <x/>
    </i>
    <i>
      <x v="1"/>
    </i>
    <i t="grand">
      <x/>
    </i>
  </rowItems>
  <colItems count="1">
    <i/>
  </colItems>
  <dataFields count="1">
    <dataField name="Count of Compliance" fld="10" subtotal="count" baseField="0" baseItem="0"/>
  </dataFields>
  <chartFormats count="6">
    <chartFormat chart="12"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0" count="1" selected="0">
            <x v="0"/>
          </reference>
        </references>
      </pivotArea>
    </chartFormat>
    <chartFormat chart="14" format="6">
      <pivotArea type="data" outline="0" fieldPosition="0">
        <references count="2">
          <reference field="4294967294" count="1" selected="0">
            <x v="0"/>
          </reference>
          <reference field="10" count="1" selected="0">
            <x v="1"/>
          </reference>
        </references>
      </pivotArea>
    </chartFormat>
    <chartFormat chart="12" format="1">
      <pivotArea type="data" outline="0" fieldPosition="0">
        <references count="2">
          <reference field="4294967294" count="1" selected="0">
            <x v="0"/>
          </reference>
          <reference field="10" count="1" selected="0">
            <x v="0"/>
          </reference>
        </references>
      </pivotArea>
    </chartFormat>
    <chartFormat chart="12"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Category" xr10:uid="{C210A14E-79C0-4A52-B659-1E1D665E50D4}" sourceName="Item_Category">
  <pivotTables>
    <pivotTable tabId="2" name="PivotTable3"/>
    <pivotTable tabId="2" name="PivotTable1"/>
    <pivotTable tabId="2" name="PivotTable10"/>
    <pivotTable tabId="2" name="PivotTable11"/>
    <pivotTable tabId="2" name="PivotTable12"/>
    <pivotTable tabId="2" name="PivotTable13"/>
    <pivotTable tabId="2" name="PivotTable4"/>
    <pivotTable tabId="2" name="PivotTable5"/>
    <pivotTable tabId="2" name="PivotTable8"/>
    <pivotTable tabId="2" name="PivotTable15"/>
    <pivotTable tabId="2" name="PivotTable2"/>
  </pivotTables>
  <data>
    <tabular pivotCacheId="1060723039">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Category 1" xr10:uid="{938046D7-5476-4A2A-9F4F-491181B14218}" cache="Slicer_Item_Category" caption="Items Category" style="SlicerStyleDark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Category" xr10:uid="{78116348-F9B2-4924-8371-06A9079A13B4}" cache="Slicer_Item_Category" caption="Item_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C1F99ED-0550-4571-AC7C-EB42456DCB9F}" sourceName="Order_Date">
  <pivotTables>
    <pivotTable tabId="2" name="PivotTable3"/>
    <pivotTable tabId="2" name="PivotTable1"/>
    <pivotTable tabId="2" name="PivotTable10"/>
    <pivotTable tabId="2" name="PivotTable11"/>
    <pivotTable tabId="2" name="PivotTable12"/>
    <pivotTable tabId="2" name="PivotTable13"/>
    <pivotTable tabId="2" name="PivotTable15"/>
    <pivotTable tabId="2" name="PivotTable4"/>
    <pivotTable tabId="2" name="PivotTable5"/>
    <pivotTable tabId="2" name="PivotTable8"/>
    <pivotTable tabId="2" name="PivotTable2"/>
  </pivotTables>
  <state minimalRefreshVersion="6" lastRefreshVersion="6" pivotCacheId="1060723039"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6A72F5D8-24F4-4E07-9796-6BCA3E9CE8F7}" cache="NativeTimeline_Order_Date" caption="Orders Date" level="1" selectionLevel="1" scrollPosition="2022-01-01T00:00:00" style="Timeline Style 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AB48574-8C1A-4E0F-AB38-61ABF0686D45}" cache="NativeTimeline_Order_Date" caption="Order_Date" level="2" selectionLevel="2" scrollPosition="2024-05-19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9A6CA-7BB7-4F5F-96BE-6C0E342D26DD}">
  <dimension ref="A1:AH5"/>
  <sheetViews>
    <sheetView showGridLines="0" tabSelected="1" zoomScaleNormal="100" workbookViewId="0"/>
  </sheetViews>
  <sheetFormatPr defaultRowHeight="14.4" x14ac:dyDescent="0.3"/>
  <cols>
    <col min="34" max="34" width="11.21875" bestFit="1" customWidth="1"/>
  </cols>
  <sheetData>
    <row r="1" spans="1:34" x14ac:dyDescent="0.3">
      <c r="A1" t="s">
        <v>821</v>
      </c>
      <c r="AH1" s="16"/>
    </row>
    <row r="2" spans="1:34" x14ac:dyDescent="0.3">
      <c r="AH2" s="16">
        <f>GETPIVOTDATA("PO_ID",PVT!$A$3)</f>
        <v>777</v>
      </c>
    </row>
    <row r="3" spans="1:34" x14ac:dyDescent="0.3">
      <c r="AH3" s="16">
        <f>GETPIVOTDATA("Quantity",PVT!$A$8)</f>
        <v>850551</v>
      </c>
    </row>
    <row r="4" spans="1:34" x14ac:dyDescent="0.3">
      <c r="AH4" s="16">
        <f>GETPIVOTDATA("Total Cost Savings",PVT!$A$40)</f>
        <v>3638920.080000001</v>
      </c>
    </row>
    <row r="5" spans="1:34" x14ac:dyDescent="0.3">
      <c r="AH5" s="1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D536-B732-4404-B30F-34738D4E5A02}">
  <dimension ref="A1"/>
  <sheetViews>
    <sheetView zoomScaleNormal="100" workbookViewId="0"/>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A29C8-9845-45ED-91AC-4CE77815E75E}">
  <dimension ref="A1:AE41"/>
  <sheetViews>
    <sheetView showGridLines="0" zoomScale="75" zoomScaleNormal="110" workbookViewId="0">
      <selection activeCell="I30" sqref="I30"/>
    </sheetView>
  </sheetViews>
  <sheetFormatPr defaultRowHeight="14.4" x14ac:dyDescent="0.3"/>
  <cols>
    <col min="1" max="1" width="22.21875" bestFit="1" customWidth="1"/>
    <col min="2" max="2" width="16.33203125" bestFit="1" customWidth="1"/>
    <col min="3" max="3" width="12.44140625" bestFit="1" customWidth="1"/>
    <col min="4" max="4" width="18.44140625" bestFit="1" customWidth="1"/>
    <col min="7" max="7" width="13.109375" bestFit="1" customWidth="1"/>
    <col min="8" max="8" width="19.21875" bestFit="1" customWidth="1"/>
    <col min="9" max="9" width="9" bestFit="1" customWidth="1"/>
    <col min="10" max="10" width="16.44140625" bestFit="1" customWidth="1"/>
    <col min="11" max="11" width="7.6640625" bestFit="1" customWidth="1"/>
    <col min="12" max="12" width="10.5546875" bestFit="1" customWidth="1"/>
    <col min="16" max="16" width="13.21875" bestFit="1" customWidth="1"/>
    <col min="17" max="17" width="31.21875" bestFit="1" customWidth="1"/>
    <col min="18" max="18" width="10.5546875" bestFit="1" customWidth="1"/>
    <col min="19" max="20" width="13.109375" bestFit="1" customWidth="1"/>
    <col min="21" max="21" width="8.33203125" bestFit="1" customWidth="1"/>
    <col min="22" max="30" width="9.33203125" bestFit="1" customWidth="1"/>
    <col min="31" max="31" width="23.21875" bestFit="1" customWidth="1"/>
    <col min="32" max="32" width="24.21875" bestFit="1" customWidth="1"/>
    <col min="33" max="34" width="9.33203125" bestFit="1" customWidth="1"/>
    <col min="35" max="38" width="8.33203125" bestFit="1" customWidth="1"/>
    <col min="39" max="52" width="9.33203125" bestFit="1" customWidth="1"/>
    <col min="53" max="58" width="8.33203125" bestFit="1" customWidth="1"/>
    <col min="59" max="75" width="9.33203125" bestFit="1" customWidth="1"/>
    <col min="76" max="79" width="8.33203125" bestFit="1" customWidth="1"/>
    <col min="80" max="94" width="9.33203125" bestFit="1" customWidth="1"/>
    <col min="95" max="99" width="8.33203125" bestFit="1" customWidth="1"/>
    <col min="100" max="113" width="9.33203125" bestFit="1" customWidth="1"/>
    <col min="114" max="119" width="8.33203125" bestFit="1" customWidth="1"/>
    <col min="120" max="133" width="9.33203125" bestFit="1" customWidth="1"/>
    <col min="134" max="138" width="8.33203125" bestFit="1" customWidth="1"/>
    <col min="139" max="150" width="9.33203125" bestFit="1" customWidth="1"/>
    <col min="151" max="157" width="8.33203125" bestFit="1" customWidth="1"/>
    <col min="158" max="172" width="9.33203125" bestFit="1" customWidth="1"/>
    <col min="173" max="179" width="8.33203125" bestFit="1" customWidth="1"/>
    <col min="180" max="200" width="9.33203125" bestFit="1" customWidth="1"/>
    <col min="201" max="212" width="10.33203125" bestFit="1" customWidth="1"/>
    <col min="213" max="219" width="9.33203125" bestFit="1" customWidth="1"/>
    <col min="220" max="233" width="10.33203125" bestFit="1" customWidth="1"/>
    <col min="234" max="240" width="9.33203125" bestFit="1" customWidth="1"/>
    <col min="241" max="255" width="10.33203125" bestFit="1" customWidth="1"/>
    <col min="256" max="261" width="8.33203125" bestFit="1" customWidth="1"/>
    <col min="262" max="274" width="9.33203125" bestFit="1" customWidth="1"/>
    <col min="275" max="277" width="8.33203125" bestFit="1" customWidth="1"/>
    <col min="278" max="292" width="9.33203125" bestFit="1" customWidth="1"/>
    <col min="293" max="298" width="8.33203125" bestFit="1" customWidth="1"/>
    <col min="299" max="312" width="9.33203125" bestFit="1" customWidth="1"/>
    <col min="313" max="316" width="8.33203125" bestFit="1" customWidth="1"/>
    <col min="317" max="333" width="9.33203125" bestFit="1" customWidth="1"/>
    <col min="334" max="336" width="8.33203125" bestFit="1" customWidth="1"/>
    <col min="337" max="346" width="9.33203125" bestFit="1" customWidth="1"/>
    <col min="347" max="353" width="8.33203125" bestFit="1" customWidth="1"/>
    <col min="354" max="364" width="9.33203125" bestFit="1" customWidth="1"/>
    <col min="365" max="370" width="8.33203125" bestFit="1" customWidth="1"/>
    <col min="371" max="387" width="9.33203125" bestFit="1" customWidth="1"/>
    <col min="388" max="393" width="8.33203125" bestFit="1" customWidth="1"/>
    <col min="394" max="406" width="9.33203125" bestFit="1" customWidth="1"/>
    <col min="407" max="411" width="8.33203125" bestFit="1" customWidth="1"/>
    <col min="412" max="433" width="9.33203125" bestFit="1" customWidth="1"/>
    <col min="434" max="446" width="10.33203125" bestFit="1" customWidth="1"/>
    <col min="447" max="453" width="9.33203125" bestFit="1" customWidth="1"/>
    <col min="454" max="470" width="10.33203125" bestFit="1" customWidth="1"/>
    <col min="471" max="476" width="9.33203125" bestFit="1" customWidth="1"/>
    <col min="477" max="488" width="10.33203125" bestFit="1" customWidth="1"/>
    <col min="489" max="489" width="8.33203125" bestFit="1" customWidth="1"/>
    <col min="490" max="490" width="7" bestFit="1" customWidth="1"/>
    <col min="491" max="491" width="10.5546875" bestFit="1" customWidth="1"/>
    <col min="492" max="498" width="6" bestFit="1" customWidth="1"/>
    <col min="499" max="499" width="5" bestFit="1" customWidth="1"/>
    <col min="500" max="502" width="6" bestFit="1" customWidth="1"/>
    <col min="503" max="503" width="7" bestFit="1" customWidth="1"/>
    <col min="504" max="504" width="6" bestFit="1" customWidth="1"/>
    <col min="505" max="505" width="5" bestFit="1" customWidth="1"/>
    <col min="506" max="507" width="6" bestFit="1" customWidth="1"/>
    <col min="508" max="508" width="5" bestFit="1" customWidth="1"/>
    <col min="509" max="509" width="6" bestFit="1" customWidth="1"/>
    <col min="510" max="510" width="7" bestFit="1" customWidth="1"/>
    <col min="511" max="514" width="6" bestFit="1" customWidth="1"/>
    <col min="515" max="515" width="5" bestFit="1" customWidth="1"/>
    <col min="516" max="531" width="6" bestFit="1" customWidth="1"/>
    <col min="532" max="532" width="5" bestFit="1" customWidth="1"/>
    <col min="533" max="534" width="6" bestFit="1" customWidth="1"/>
    <col min="535" max="535" width="5" bestFit="1" customWidth="1"/>
    <col min="536" max="538" width="6" bestFit="1" customWidth="1"/>
    <col min="539" max="539" width="5" bestFit="1" customWidth="1"/>
    <col min="540" max="547" width="6" bestFit="1" customWidth="1"/>
    <col min="548" max="548" width="7" bestFit="1" customWidth="1"/>
    <col min="549" max="554" width="6" bestFit="1" customWidth="1"/>
    <col min="555" max="555" width="5" bestFit="1" customWidth="1"/>
    <col min="556" max="557" width="6" bestFit="1" customWidth="1"/>
    <col min="558" max="558" width="7" bestFit="1" customWidth="1"/>
    <col min="559" max="588" width="6" bestFit="1" customWidth="1"/>
    <col min="589" max="589" width="3" bestFit="1" customWidth="1"/>
    <col min="590" max="610" width="6" bestFit="1" customWidth="1"/>
    <col min="611" max="611" width="5" bestFit="1" customWidth="1"/>
    <col min="612" max="613" width="6" bestFit="1" customWidth="1"/>
    <col min="614" max="614" width="5" bestFit="1" customWidth="1"/>
    <col min="615" max="620" width="6" bestFit="1" customWidth="1"/>
    <col min="621" max="621" width="5" bestFit="1" customWidth="1"/>
    <col min="622" max="623" width="6" bestFit="1" customWidth="1"/>
    <col min="624" max="624" width="7" bestFit="1" customWidth="1"/>
    <col min="625" max="625" width="5" bestFit="1" customWidth="1"/>
    <col min="626" max="627" width="6" bestFit="1" customWidth="1"/>
    <col min="628" max="628" width="7" bestFit="1" customWidth="1"/>
    <col min="629" max="632" width="6" bestFit="1" customWidth="1"/>
    <col min="633" max="633" width="7" bestFit="1" customWidth="1"/>
    <col min="634" max="639" width="6" bestFit="1" customWidth="1"/>
    <col min="640" max="640" width="5" bestFit="1" customWidth="1"/>
    <col min="641" max="644" width="6" bestFit="1" customWidth="1"/>
    <col min="645" max="646" width="5" bestFit="1" customWidth="1"/>
    <col min="647" max="651" width="6" bestFit="1" customWidth="1"/>
    <col min="652" max="652" width="7" bestFit="1" customWidth="1"/>
    <col min="653" max="655" width="6" bestFit="1" customWidth="1"/>
    <col min="656" max="656" width="5" bestFit="1" customWidth="1"/>
    <col min="657" max="674" width="6" bestFit="1" customWidth="1"/>
    <col min="675" max="675" width="5" bestFit="1" customWidth="1"/>
    <col min="676" max="693" width="6" bestFit="1" customWidth="1"/>
    <col min="694" max="694" width="5" bestFit="1" customWidth="1"/>
    <col min="695" max="700" width="6" bestFit="1" customWidth="1"/>
    <col min="701" max="701" width="5" bestFit="1" customWidth="1"/>
    <col min="702" max="707" width="6" bestFit="1" customWidth="1"/>
    <col min="708" max="708" width="5" bestFit="1" customWidth="1"/>
    <col min="709" max="716" width="6" bestFit="1" customWidth="1"/>
    <col min="717" max="717" width="5" bestFit="1" customWidth="1"/>
    <col min="718" max="720" width="6" bestFit="1" customWidth="1"/>
    <col min="721" max="721" width="5" bestFit="1" customWidth="1"/>
    <col min="722" max="724" width="6" bestFit="1" customWidth="1"/>
    <col min="725" max="725" width="5" bestFit="1" customWidth="1"/>
    <col min="726" max="743" width="6" bestFit="1" customWidth="1"/>
    <col min="744" max="744" width="7" bestFit="1" customWidth="1"/>
    <col min="745" max="751" width="6" bestFit="1" customWidth="1"/>
    <col min="752" max="755" width="7" bestFit="1" customWidth="1"/>
    <col min="756" max="756" width="6" bestFit="1" customWidth="1"/>
    <col min="757" max="763" width="7" bestFit="1" customWidth="1"/>
    <col min="764" max="764" width="6" bestFit="1" customWidth="1"/>
    <col min="765" max="766" width="7" bestFit="1" customWidth="1"/>
    <col min="767" max="767" width="10.5546875" bestFit="1" customWidth="1"/>
  </cols>
  <sheetData>
    <row r="1" spans="1:31" x14ac:dyDescent="0.3">
      <c r="P1" s="1" t="s">
        <v>5</v>
      </c>
      <c r="Q1" t="s">
        <v>819</v>
      </c>
      <c r="S1" s="12" t="s">
        <v>5</v>
      </c>
      <c r="T1" s="11" t="s">
        <v>819</v>
      </c>
    </row>
    <row r="3" spans="1:31" x14ac:dyDescent="0.3">
      <c r="A3" t="s">
        <v>804</v>
      </c>
      <c r="G3" s="1" t="s">
        <v>812</v>
      </c>
      <c r="H3" s="1" t="s">
        <v>807</v>
      </c>
      <c r="P3" s="1" t="s">
        <v>805</v>
      </c>
      <c r="Q3" t="s">
        <v>817</v>
      </c>
      <c r="S3" s="12" t="s">
        <v>805</v>
      </c>
      <c r="T3" s="11" t="s">
        <v>820</v>
      </c>
      <c r="W3" s="1" t="s">
        <v>805</v>
      </c>
      <c r="X3" t="s">
        <v>809</v>
      </c>
      <c r="Y3" t="s">
        <v>810</v>
      </c>
      <c r="Z3" t="s">
        <v>818</v>
      </c>
      <c r="AD3" s="1" t="s">
        <v>805</v>
      </c>
      <c r="AE3" t="s">
        <v>820</v>
      </c>
    </row>
    <row r="4" spans="1:31" x14ac:dyDescent="0.3">
      <c r="A4" s="17">
        <v>777</v>
      </c>
      <c r="G4" s="1" t="s">
        <v>805</v>
      </c>
      <c r="H4" t="s">
        <v>39</v>
      </c>
      <c r="I4" t="s">
        <v>21</v>
      </c>
      <c r="J4" t="s">
        <v>13</v>
      </c>
      <c r="K4" t="s">
        <v>24</v>
      </c>
      <c r="L4" t="s">
        <v>26</v>
      </c>
      <c r="M4" t="s">
        <v>806</v>
      </c>
      <c r="P4" s="2" t="s">
        <v>20</v>
      </c>
      <c r="Q4" s="10">
        <v>10.03225806451613</v>
      </c>
      <c r="S4" s="13" t="s">
        <v>21</v>
      </c>
      <c r="T4" s="15">
        <v>880102.81999999983</v>
      </c>
      <c r="W4" s="2" t="s">
        <v>12</v>
      </c>
      <c r="X4" s="10">
        <v>7564.3900000000031</v>
      </c>
      <c r="Y4" s="10">
        <v>8232.5000000000036</v>
      </c>
      <c r="Z4" s="11">
        <v>8.2104590467255753E-2</v>
      </c>
      <c r="AD4" s="2" t="s">
        <v>12</v>
      </c>
      <c r="AE4" s="10">
        <v>688920.48999999987</v>
      </c>
    </row>
    <row r="5" spans="1:31" x14ac:dyDescent="0.3">
      <c r="C5" s="1" t="s">
        <v>805</v>
      </c>
      <c r="D5" t="s">
        <v>811</v>
      </c>
      <c r="G5" s="2" t="s">
        <v>12</v>
      </c>
      <c r="H5" s="17">
        <v>22</v>
      </c>
      <c r="I5" s="17">
        <v>35</v>
      </c>
      <c r="J5" s="17">
        <v>39</v>
      </c>
      <c r="K5" s="17">
        <v>27</v>
      </c>
      <c r="L5" s="17">
        <v>18</v>
      </c>
      <c r="M5" s="17">
        <v>141</v>
      </c>
      <c r="P5" s="2" t="s">
        <v>12</v>
      </c>
      <c r="Q5" s="10">
        <v>10.361904761904762</v>
      </c>
      <c r="S5" s="13" t="s">
        <v>13</v>
      </c>
      <c r="T5" s="15">
        <v>760062.86000000045</v>
      </c>
      <c r="W5" s="2" t="s">
        <v>23</v>
      </c>
      <c r="X5" s="10">
        <v>8362.8300000000017</v>
      </c>
      <c r="Y5" s="10">
        <v>9091.59</v>
      </c>
      <c r="Z5" s="11">
        <v>7.8276992247910543E-2</v>
      </c>
      <c r="AD5" s="2" t="s">
        <v>23</v>
      </c>
      <c r="AE5" s="10">
        <v>889940.89000000036</v>
      </c>
    </row>
    <row r="6" spans="1:31" x14ac:dyDescent="0.3">
      <c r="C6" s="2" t="s">
        <v>27</v>
      </c>
      <c r="D6">
        <v>137</v>
      </c>
      <c r="G6" s="2" t="s">
        <v>23</v>
      </c>
      <c r="H6" s="17">
        <v>32</v>
      </c>
      <c r="I6" s="17">
        <v>26</v>
      </c>
      <c r="J6" s="17">
        <v>41</v>
      </c>
      <c r="K6" s="17">
        <v>30</v>
      </c>
      <c r="L6" s="17">
        <v>27</v>
      </c>
      <c r="M6" s="17">
        <v>156</v>
      </c>
      <c r="P6" s="2" t="s">
        <v>17</v>
      </c>
      <c r="Q6" s="10">
        <v>10.8</v>
      </c>
      <c r="S6" s="13" t="s">
        <v>24</v>
      </c>
      <c r="T6" s="15">
        <v>672313.30000000016</v>
      </c>
      <c r="W6" s="2" t="s">
        <v>17</v>
      </c>
      <c r="X6" s="10">
        <v>8874.6100000000042</v>
      </c>
      <c r="Y6" s="10">
        <v>9616.3599999999969</v>
      </c>
      <c r="Z6" s="11">
        <v>7.8119769226173377E-2</v>
      </c>
      <c r="AD6" s="2" t="s">
        <v>17</v>
      </c>
      <c r="AE6" s="10">
        <v>781976.49</v>
      </c>
    </row>
    <row r="7" spans="1:31" x14ac:dyDescent="0.3">
      <c r="C7" s="2" t="s">
        <v>15</v>
      </c>
      <c r="D7">
        <v>640</v>
      </c>
      <c r="G7" s="2" t="s">
        <v>17</v>
      </c>
      <c r="H7" s="17">
        <v>33</v>
      </c>
      <c r="I7" s="17">
        <v>34</v>
      </c>
      <c r="J7" s="17">
        <v>37</v>
      </c>
      <c r="K7" s="17">
        <v>29</v>
      </c>
      <c r="L7" s="17">
        <v>38</v>
      </c>
      <c r="M7" s="17">
        <v>171</v>
      </c>
      <c r="P7" s="2" t="s">
        <v>29</v>
      </c>
      <c r="Q7" s="10">
        <v>10.920863309352518</v>
      </c>
      <c r="S7" s="13" t="s">
        <v>39</v>
      </c>
      <c r="T7" s="15">
        <v>671846.75</v>
      </c>
      <c r="W7" s="2" t="s">
        <v>29</v>
      </c>
      <c r="X7" s="10">
        <v>9069.49</v>
      </c>
      <c r="Y7" s="10">
        <v>9859.19</v>
      </c>
      <c r="Z7" s="11">
        <v>8.0405205072453925E-2</v>
      </c>
      <c r="AD7" s="2" t="s">
        <v>29</v>
      </c>
      <c r="AE7" s="10">
        <v>844980.17999999993</v>
      </c>
    </row>
    <row r="8" spans="1:31" x14ac:dyDescent="0.3">
      <c r="A8" t="s">
        <v>808</v>
      </c>
      <c r="C8" s="2" t="s">
        <v>806</v>
      </c>
      <c r="D8">
        <v>777</v>
      </c>
      <c r="G8" s="2" t="s">
        <v>29</v>
      </c>
      <c r="H8" s="17">
        <v>36</v>
      </c>
      <c r="I8" s="17">
        <v>39</v>
      </c>
      <c r="J8" s="17">
        <v>34</v>
      </c>
      <c r="K8" s="17">
        <v>34</v>
      </c>
      <c r="L8" s="17">
        <v>23</v>
      </c>
      <c r="M8" s="17">
        <v>166</v>
      </c>
      <c r="P8" s="2" t="s">
        <v>23</v>
      </c>
      <c r="Q8" s="10">
        <v>11.303030303030303</v>
      </c>
      <c r="S8" s="13" t="s">
        <v>26</v>
      </c>
      <c r="T8" s="15">
        <v>654594.35000000009</v>
      </c>
      <c r="W8" s="2" t="s">
        <v>20</v>
      </c>
      <c r="X8" s="10">
        <v>7823.0600000000013</v>
      </c>
      <c r="Y8" s="10">
        <v>8486.8900000000012</v>
      </c>
      <c r="Z8" s="11">
        <v>7.9848562374747065E-2</v>
      </c>
      <c r="AD8" s="2" t="s">
        <v>20</v>
      </c>
      <c r="AE8" s="10">
        <v>725308.42000000062</v>
      </c>
    </row>
    <row r="9" spans="1:31" x14ac:dyDescent="0.3">
      <c r="A9" s="15">
        <v>850551</v>
      </c>
      <c r="G9" s="2" t="s">
        <v>20</v>
      </c>
      <c r="H9" s="17">
        <v>29</v>
      </c>
      <c r="I9" s="17">
        <v>30</v>
      </c>
      <c r="J9" s="17">
        <v>23</v>
      </c>
      <c r="K9" s="17">
        <v>28</v>
      </c>
      <c r="L9" s="17">
        <v>33</v>
      </c>
      <c r="M9" s="17">
        <v>143</v>
      </c>
      <c r="P9" s="2" t="s">
        <v>806</v>
      </c>
      <c r="Q9" s="10">
        <v>10.708661417322835</v>
      </c>
      <c r="S9" s="13" t="s">
        <v>806</v>
      </c>
      <c r="T9" s="15">
        <v>3638920.0800000005</v>
      </c>
      <c r="W9" s="2" t="s">
        <v>806</v>
      </c>
      <c r="X9" s="10">
        <v>41694.379999999976</v>
      </c>
      <c r="Y9" s="10">
        <v>45286.53</v>
      </c>
      <c r="Z9" s="11">
        <v>7.968088422889183E-2</v>
      </c>
      <c r="AD9" s="2" t="s">
        <v>806</v>
      </c>
      <c r="AE9" s="10">
        <v>3931126.4700000007</v>
      </c>
    </row>
    <row r="10" spans="1:31" x14ac:dyDescent="0.3">
      <c r="G10" s="2" t="s">
        <v>806</v>
      </c>
      <c r="H10" s="17">
        <v>152</v>
      </c>
      <c r="I10" s="17">
        <v>164</v>
      </c>
      <c r="J10" s="17">
        <v>174</v>
      </c>
      <c r="K10" s="17">
        <v>148</v>
      </c>
      <c r="L10" s="17">
        <v>139</v>
      </c>
      <c r="M10" s="17">
        <v>777</v>
      </c>
    </row>
    <row r="16" spans="1:31" x14ac:dyDescent="0.3">
      <c r="A16" s="1" t="s">
        <v>805</v>
      </c>
      <c r="B16" t="s">
        <v>804</v>
      </c>
    </row>
    <row r="17" spans="1:13" x14ac:dyDescent="0.3">
      <c r="A17" s="2" t="s">
        <v>14</v>
      </c>
      <c r="B17" s="17">
        <v>63</v>
      </c>
    </row>
    <row r="18" spans="1:13" x14ac:dyDescent="0.3">
      <c r="A18" s="2" t="s">
        <v>18</v>
      </c>
      <c r="B18" s="17">
        <v>560</v>
      </c>
      <c r="L18" s="1" t="s">
        <v>805</v>
      </c>
      <c r="M18" t="s">
        <v>808</v>
      </c>
    </row>
    <row r="19" spans="1:13" x14ac:dyDescent="0.3">
      <c r="A19" s="2" t="s">
        <v>33</v>
      </c>
      <c r="B19" s="17">
        <v>73</v>
      </c>
      <c r="L19" s="2" t="s">
        <v>14</v>
      </c>
      <c r="M19" s="17">
        <v>65436</v>
      </c>
    </row>
    <row r="20" spans="1:13" x14ac:dyDescent="0.3">
      <c r="A20" s="2" t="s">
        <v>35</v>
      </c>
      <c r="B20" s="17">
        <v>81</v>
      </c>
      <c r="L20" s="2" t="s">
        <v>33</v>
      </c>
      <c r="M20" s="17">
        <v>78617</v>
      </c>
    </row>
    <row r="21" spans="1:13" x14ac:dyDescent="0.3">
      <c r="A21" s="2" t="s">
        <v>806</v>
      </c>
      <c r="B21" s="17">
        <v>777</v>
      </c>
      <c r="L21" s="2" t="s">
        <v>35</v>
      </c>
      <c r="M21" s="17">
        <v>92420</v>
      </c>
    </row>
    <row r="22" spans="1:13" x14ac:dyDescent="0.3">
      <c r="L22" s="2" t="s">
        <v>18</v>
      </c>
      <c r="M22" s="17">
        <v>614078</v>
      </c>
    </row>
    <row r="23" spans="1:13" x14ac:dyDescent="0.3">
      <c r="L23" s="2" t="s">
        <v>806</v>
      </c>
      <c r="M23" s="17">
        <v>850551</v>
      </c>
    </row>
    <row r="24" spans="1:13" x14ac:dyDescent="0.3">
      <c r="A24" s="1" t="s">
        <v>805</v>
      </c>
      <c r="B24" t="s">
        <v>811</v>
      </c>
    </row>
    <row r="25" spans="1:13" x14ac:dyDescent="0.3">
      <c r="A25" s="2" t="s">
        <v>27</v>
      </c>
      <c r="B25" s="17">
        <v>137</v>
      </c>
    </row>
    <row r="26" spans="1:13" x14ac:dyDescent="0.3">
      <c r="A26" s="2" t="s">
        <v>15</v>
      </c>
      <c r="B26" s="17">
        <v>640</v>
      </c>
    </row>
    <row r="27" spans="1:13" x14ac:dyDescent="0.3">
      <c r="A27" s="2" t="s">
        <v>806</v>
      </c>
      <c r="B27" s="17">
        <v>777</v>
      </c>
    </row>
    <row r="38" spans="1:2" x14ac:dyDescent="0.3">
      <c r="A38" s="1" t="s">
        <v>5</v>
      </c>
      <c r="B38" t="s">
        <v>819</v>
      </c>
    </row>
    <row r="40" spans="1:2" x14ac:dyDescent="0.3">
      <c r="A40" t="s">
        <v>820</v>
      </c>
    </row>
    <row r="41" spans="1:2" x14ac:dyDescent="0.3">
      <c r="A41" s="15">
        <v>3638920.080000001</v>
      </c>
    </row>
  </sheetData>
  <pageMargins left="0.7" right="0.7" top="0.75" bottom="0.75" header="0.3" footer="0.3"/>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84456-8546-4BEA-A8C0-785AE4053BB9}">
  <dimension ref="A1:O780"/>
  <sheetViews>
    <sheetView topLeftCell="E1" workbookViewId="0">
      <selection activeCell="N2" sqref="N2"/>
    </sheetView>
  </sheetViews>
  <sheetFormatPr defaultRowHeight="14.4" x14ac:dyDescent="0.3"/>
  <cols>
    <col min="1" max="2" width="8.88671875" style="4"/>
    <col min="3" max="3" width="10.33203125" style="4" bestFit="1" customWidth="1"/>
    <col min="4" max="4" width="11.88671875" style="4" bestFit="1" customWidth="1"/>
    <col min="5" max="5" width="16.33203125" style="4" customWidth="1"/>
    <col min="6" max="6" width="15.44140625" style="4" bestFit="1" customWidth="1"/>
    <col min="7" max="7" width="8.88671875" style="4"/>
    <col min="8" max="8" width="9.21875" style="4" bestFit="1" customWidth="1"/>
    <col min="9" max="9" width="14.88671875" style="4" bestFit="1" customWidth="1"/>
    <col min="10" max="10" width="13.5546875" style="4" bestFit="1" customWidth="1"/>
    <col min="11" max="11" width="8.88671875" style="4"/>
    <col min="12" max="12" width="19.6640625" style="4" bestFit="1" customWidth="1"/>
    <col min="13" max="13" width="12.5546875" style="4" bestFit="1" customWidth="1"/>
    <col min="14" max="14" width="15.77734375" style="4" bestFit="1" customWidth="1"/>
    <col min="15" max="15" width="15.33203125" style="4" bestFit="1" customWidth="1"/>
    <col min="16" max="16384" width="8.88671875" style="4"/>
  </cols>
  <sheetData>
    <row r="1" spans="1:15" x14ac:dyDescent="0.3">
      <c r="A1" s="3" t="s">
        <v>0</v>
      </c>
      <c r="B1" s="3" t="s">
        <v>1</v>
      </c>
      <c r="C1" s="3" t="s">
        <v>2</v>
      </c>
      <c r="D1" s="3" t="s">
        <v>3</v>
      </c>
      <c r="E1" s="3" t="s">
        <v>4</v>
      </c>
      <c r="F1" s="3" t="s">
        <v>5</v>
      </c>
      <c r="G1" s="3" t="s">
        <v>6</v>
      </c>
      <c r="H1" s="3" t="s">
        <v>7</v>
      </c>
      <c r="I1" s="3" t="s">
        <v>8</v>
      </c>
      <c r="J1" s="3" t="s">
        <v>9</v>
      </c>
      <c r="K1" s="3" t="s">
        <v>10</v>
      </c>
      <c r="L1" s="8" t="s">
        <v>813</v>
      </c>
      <c r="M1" s="8" t="s">
        <v>814</v>
      </c>
      <c r="N1" s="8" t="s">
        <v>815</v>
      </c>
      <c r="O1" s="9" t="s">
        <v>816</v>
      </c>
    </row>
    <row r="2" spans="1:15" x14ac:dyDescent="0.3">
      <c r="A2" s="3" t="s">
        <v>11</v>
      </c>
      <c r="B2" s="3" t="s">
        <v>12</v>
      </c>
      <c r="C2" s="5">
        <v>45216</v>
      </c>
      <c r="D2" s="5">
        <v>45224</v>
      </c>
      <c r="E2" s="3" t="s">
        <v>13</v>
      </c>
      <c r="F2" s="3" t="s">
        <v>14</v>
      </c>
      <c r="G2" s="3">
        <v>1176</v>
      </c>
      <c r="H2" s="3">
        <v>20.13</v>
      </c>
      <c r="I2" s="3">
        <v>17.809999999999999</v>
      </c>
      <c r="J2" s="3"/>
      <c r="K2" s="3" t="s">
        <v>15</v>
      </c>
      <c r="L2" s="3">
        <f>IF(OR(C2="",D2=""),"",D2-C2)</f>
        <v>8</v>
      </c>
      <c r="M2" s="4">
        <f>H2-I2</f>
        <v>2.3200000000000003</v>
      </c>
      <c r="N2" s="6">
        <f>IFERROR((H2-I2)/H2,0)</f>
        <v>0.11525086934923003</v>
      </c>
      <c r="O2" s="4">
        <f>(H2-I2)*G2</f>
        <v>2728.32</v>
      </c>
    </row>
    <row r="3" spans="1:15" x14ac:dyDescent="0.3">
      <c r="A3" s="3" t="s">
        <v>16</v>
      </c>
      <c r="B3" s="3" t="s">
        <v>17</v>
      </c>
      <c r="C3" s="5">
        <v>44676</v>
      </c>
      <c r="D3" s="5">
        <v>44686</v>
      </c>
      <c r="E3" s="3" t="s">
        <v>13</v>
      </c>
      <c r="F3" s="3" t="s">
        <v>18</v>
      </c>
      <c r="G3" s="3">
        <v>1509</v>
      </c>
      <c r="H3" s="3">
        <v>39.32</v>
      </c>
      <c r="I3" s="3">
        <v>37.340000000000003</v>
      </c>
      <c r="J3" s="3">
        <v>235</v>
      </c>
      <c r="K3" s="3" t="s">
        <v>15</v>
      </c>
      <c r="L3" s="3">
        <f t="shared" ref="L3:L66" si="0">IF(OR(C3="",D3=""),"",D3-C3)</f>
        <v>10</v>
      </c>
      <c r="M3" s="4">
        <f t="shared" ref="M3:M66" si="1">H3-I3</f>
        <v>1.9799999999999969</v>
      </c>
      <c r="N3" s="6">
        <f t="shared" ref="N3:N66" si="2">IFERROR((H3-I3)/H3,0)</f>
        <v>5.0356052899287816E-2</v>
      </c>
      <c r="O3" s="4">
        <f t="shared" ref="O3:O66" si="3">(H3-I3)*G3</f>
        <v>2987.8199999999952</v>
      </c>
    </row>
    <row r="4" spans="1:15" x14ac:dyDescent="0.3">
      <c r="A4" s="3" t="s">
        <v>19</v>
      </c>
      <c r="B4" s="3" t="s">
        <v>20</v>
      </c>
      <c r="C4" s="5">
        <v>44587</v>
      </c>
      <c r="D4" s="5">
        <v>44607</v>
      </c>
      <c r="E4" s="3" t="s">
        <v>21</v>
      </c>
      <c r="F4" s="3" t="s">
        <v>18</v>
      </c>
      <c r="G4" s="3">
        <v>910</v>
      </c>
      <c r="H4" s="3">
        <v>95.51</v>
      </c>
      <c r="I4" s="3">
        <v>92.26</v>
      </c>
      <c r="J4" s="3">
        <v>41</v>
      </c>
      <c r="K4" s="3" t="s">
        <v>15</v>
      </c>
      <c r="L4" s="3">
        <f t="shared" si="0"/>
        <v>20</v>
      </c>
      <c r="M4" s="4">
        <f t="shared" si="1"/>
        <v>3.25</v>
      </c>
      <c r="N4" s="6">
        <f t="shared" si="2"/>
        <v>3.4027850486860016E-2</v>
      </c>
      <c r="O4" s="4">
        <f t="shared" si="3"/>
        <v>2957.5</v>
      </c>
    </row>
    <row r="5" spans="1:15" x14ac:dyDescent="0.3">
      <c r="A5" s="3" t="s">
        <v>22</v>
      </c>
      <c r="B5" s="3" t="s">
        <v>23</v>
      </c>
      <c r="C5" s="5">
        <v>44843</v>
      </c>
      <c r="D5" s="5">
        <v>44862</v>
      </c>
      <c r="E5" s="3" t="s">
        <v>24</v>
      </c>
      <c r="F5" s="3" t="s">
        <v>18</v>
      </c>
      <c r="G5" s="3">
        <v>1344</v>
      </c>
      <c r="H5" s="3">
        <v>99.85</v>
      </c>
      <c r="I5" s="3">
        <v>95.52</v>
      </c>
      <c r="J5" s="3">
        <v>112</v>
      </c>
      <c r="K5" s="3" t="s">
        <v>15</v>
      </c>
      <c r="L5" s="3">
        <f t="shared" si="0"/>
        <v>19</v>
      </c>
      <c r="M5" s="4">
        <f t="shared" si="1"/>
        <v>4.3299999999999983</v>
      </c>
      <c r="N5" s="6">
        <f t="shared" si="2"/>
        <v>4.3365047571357021E-2</v>
      </c>
      <c r="O5" s="4">
        <f t="shared" si="3"/>
        <v>5819.5199999999977</v>
      </c>
    </row>
    <row r="6" spans="1:15" x14ac:dyDescent="0.3">
      <c r="A6" s="3" t="s">
        <v>25</v>
      </c>
      <c r="B6" s="3" t="s">
        <v>17</v>
      </c>
      <c r="C6" s="5">
        <v>44812</v>
      </c>
      <c r="D6" s="5">
        <v>44824</v>
      </c>
      <c r="E6" s="3" t="s">
        <v>26</v>
      </c>
      <c r="F6" s="3" t="s">
        <v>18</v>
      </c>
      <c r="G6" s="3">
        <v>1180</v>
      </c>
      <c r="H6" s="3">
        <v>64.069999999999993</v>
      </c>
      <c r="I6" s="3">
        <v>60.53</v>
      </c>
      <c r="J6" s="3">
        <v>171</v>
      </c>
      <c r="K6" s="3" t="s">
        <v>27</v>
      </c>
      <c r="L6" s="3">
        <f t="shared" si="0"/>
        <v>12</v>
      </c>
      <c r="M6" s="4">
        <f t="shared" si="1"/>
        <v>3.539999999999992</v>
      </c>
      <c r="N6" s="6">
        <f t="shared" si="2"/>
        <v>5.5252068050569571E-2</v>
      </c>
      <c r="O6" s="4">
        <f t="shared" si="3"/>
        <v>4177.1999999999907</v>
      </c>
    </row>
    <row r="7" spans="1:15" x14ac:dyDescent="0.3">
      <c r="A7" s="3" t="s">
        <v>28</v>
      </c>
      <c r="B7" s="3" t="s">
        <v>29</v>
      </c>
      <c r="C7" s="5">
        <v>44790</v>
      </c>
      <c r="D7" s="5">
        <v>44802</v>
      </c>
      <c r="E7" s="3" t="s">
        <v>21</v>
      </c>
      <c r="F7" s="3" t="s">
        <v>18</v>
      </c>
      <c r="G7" s="3">
        <v>1145</v>
      </c>
      <c r="H7" s="3">
        <v>69.209999999999994</v>
      </c>
      <c r="I7" s="3">
        <v>63.57</v>
      </c>
      <c r="J7" s="3">
        <v>39</v>
      </c>
      <c r="K7" s="3" t="s">
        <v>15</v>
      </c>
      <c r="L7" s="3">
        <f t="shared" si="0"/>
        <v>12</v>
      </c>
      <c r="M7" s="4">
        <f t="shared" si="1"/>
        <v>5.6399999999999935</v>
      </c>
      <c r="N7" s="6">
        <f t="shared" si="2"/>
        <v>8.1491114000866838E-2</v>
      </c>
      <c r="O7" s="4">
        <f t="shared" si="3"/>
        <v>6457.7999999999929</v>
      </c>
    </row>
    <row r="8" spans="1:15" x14ac:dyDescent="0.3">
      <c r="A8" s="3" t="s">
        <v>30</v>
      </c>
      <c r="B8" s="3" t="s">
        <v>20</v>
      </c>
      <c r="C8" s="5">
        <v>44704</v>
      </c>
      <c r="D8" s="5">
        <v>44715</v>
      </c>
      <c r="E8" s="3" t="s">
        <v>21</v>
      </c>
      <c r="F8" s="3" t="s">
        <v>18</v>
      </c>
      <c r="G8" s="3">
        <v>1774</v>
      </c>
      <c r="H8" s="3">
        <v>51.37</v>
      </c>
      <c r="I8" s="3">
        <v>47.82</v>
      </c>
      <c r="J8" s="3">
        <v>96</v>
      </c>
      <c r="K8" s="3" t="s">
        <v>27</v>
      </c>
      <c r="L8" s="3">
        <f t="shared" si="0"/>
        <v>11</v>
      </c>
      <c r="M8" s="4">
        <f t="shared" si="1"/>
        <v>3.5499999999999972</v>
      </c>
      <c r="N8" s="6">
        <f t="shared" si="2"/>
        <v>6.9106482382713594E-2</v>
      </c>
      <c r="O8" s="4">
        <f t="shared" si="3"/>
        <v>6297.6999999999953</v>
      </c>
    </row>
    <row r="9" spans="1:15" x14ac:dyDescent="0.3">
      <c r="A9" s="3" t="s">
        <v>31</v>
      </c>
      <c r="B9" s="3" t="s">
        <v>12</v>
      </c>
      <c r="C9" s="5">
        <v>44666</v>
      </c>
      <c r="D9" s="5">
        <v>44680</v>
      </c>
      <c r="E9" s="3" t="s">
        <v>21</v>
      </c>
      <c r="F9" s="3" t="s">
        <v>18</v>
      </c>
      <c r="G9" s="3">
        <v>1094</v>
      </c>
      <c r="H9" s="3">
        <v>36.93</v>
      </c>
      <c r="I9" s="3">
        <v>32.78</v>
      </c>
      <c r="J9" s="3">
        <v>22</v>
      </c>
      <c r="K9" s="3" t="s">
        <v>15</v>
      </c>
      <c r="L9" s="3">
        <f t="shared" si="0"/>
        <v>14</v>
      </c>
      <c r="M9" s="4">
        <f t="shared" si="1"/>
        <v>4.1499999999999986</v>
      </c>
      <c r="N9" s="6">
        <f t="shared" si="2"/>
        <v>0.11237476306525856</v>
      </c>
      <c r="O9" s="4">
        <f t="shared" si="3"/>
        <v>4540.0999999999985</v>
      </c>
    </row>
    <row r="10" spans="1:15" x14ac:dyDescent="0.3">
      <c r="A10" s="3" t="s">
        <v>32</v>
      </c>
      <c r="B10" s="3" t="s">
        <v>20</v>
      </c>
      <c r="C10" s="5">
        <v>45254</v>
      </c>
      <c r="D10" s="5">
        <v>45258</v>
      </c>
      <c r="E10" s="3" t="s">
        <v>26</v>
      </c>
      <c r="F10" s="3" t="s">
        <v>33</v>
      </c>
      <c r="G10" s="3">
        <v>1688</v>
      </c>
      <c r="H10" s="3">
        <v>43.93</v>
      </c>
      <c r="I10" s="3">
        <v>39.89</v>
      </c>
      <c r="J10" s="3">
        <v>89</v>
      </c>
      <c r="K10" s="3" t="s">
        <v>15</v>
      </c>
      <c r="L10" s="3">
        <f t="shared" si="0"/>
        <v>4</v>
      </c>
      <c r="M10" s="4">
        <f t="shared" si="1"/>
        <v>4.0399999999999991</v>
      </c>
      <c r="N10" s="6">
        <f t="shared" si="2"/>
        <v>9.1964488959708615E-2</v>
      </c>
      <c r="O10" s="4">
        <f t="shared" si="3"/>
        <v>6819.5199999999986</v>
      </c>
    </row>
    <row r="11" spans="1:15" x14ac:dyDescent="0.3">
      <c r="A11" s="3" t="s">
        <v>34</v>
      </c>
      <c r="B11" s="3" t="s">
        <v>20</v>
      </c>
      <c r="C11" s="5">
        <v>45120</v>
      </c>
      <c r="D11" s="5">
        <v>45132</v>
      </c>
      <c r="E11" s="3" t="s">
        <v>26</v>
      </c>
      <c r="F11" s="3" t="s">
        <v>35</v>
      </c>
      <c r="G11" s="3">
        <v>171</v>
      </c>
      <c r="H11" s="3">
        <v>76.87</v>
      </c>
      <c r="I11" s="3">
        <v>70.2</v>
      </c>
      <c r="J11" s="3">
        <v>8</v>
      </c>
      <c r="K11" s="3" t="s">
        <v>15</v>
      </c>
      <c r="L11" s="3">
        <f t="shared" si="0"/>
        <v>12</v>
      </c>
      <c r="M11" s="4">
        <f t="shared" si="1"/>
        <v>6.6700000000000017</v>
      </c>
      <c r="N11" s="6">
        <f t="shared" si="2"/>
        <v>8.6769871211135705E-2</v>
      </c>
      <c r="O11" s="4">
        <f t="shared" si="3"/>
        <v>1140.5700000000004</v>
      </c>
    </row>
    <row r="12" spans="1:15" x14ac:dyDescent="0.3">
      <c r="A12" s="3" t="s">
        <v>36</v>
      </c>
      <c r="B12" s="3" t="s">
        <v>29</v>
      </c>
      <c r="C12" s="5">
        <v>44651</v>
      </c>
      <c r="D12" s="5">
        <v>44666</v>
      </c>
      <c r="E12" s="3" t="s">
        <v>26</v>
      </c>
      <c r="F12" s="3" t="s">
        <v>18</v>
      </c>
      <c r="G12" s="3">
        <v>5000</v>
      </c>
      <c r="H12" s="3">
        <v>78.489999999999995</v>
      </c>
      <c r="I12" s="3">
        <v>73.680000000000007</v>
      </c>
      <c r="J12" s="3">
        <v>18</v>
      </c>
      <c r="K12" s="3" t="s">
        <v>15</v>
      </c>
      <c r="L12" s="3">
        <f t="shared" si="0"/>
        <v>15</v>
      </c>
      <c r="M12" s="4">
        <f t="shared" si="1"/>
        <v>4.8099999999999881</v>
      </c>
      <c r="N12" s="6">
        <f t="shared" si="2"/>
        <v>6.1281691935278229E-2</v>
      </c>
      <c r="O12" s="4">
        <f t="shared" si="3"/>
        <v>24049.999999999942</v>
      </c>
    </row>
    <row r="13" spans="1:15" x14ac:dyDescent="0.3">
      <c r="A13" s="3" t="s">
        <v>37</v>
      </c>
      <c r="B13" s="3" t="s">
        <v>23</v>
      </c>
      <c r="C13" s="5">
        <v>45166</v>
      </c>
      <c r="D13" s="5">
        <v>45180</v>
      </c>
      <c r="E13" s="3" t="s">
        <v>26</v>
      </c>
      <c r="F13" s="3" t="s">
        <v>18</v>
      </c>
      <c r="G13" s="3">
        <v>5000</v>
      </c>
      <c r="H13" s="3">
        <v>88.96</v>
      </c>
      <c r="I13" s="3">
        <v>86.58</v>
      </c>
      <c r="J13" s="3">
        <v>115</v>
      </c>
      <c r="K13" s="3" t="s">
        <v>15</v>
      </c>
      <c r="L13" s="3">
        <f t="shared" si="0"/>
        <v>14</v>
      </c>
      <c r="M13" s="4">
        <f t="shared" si="1"/>
        <v>2.3799999999999955</v>
      </c>
      <c r="N13" s="6">
        <f t="shared" si="2"/>
        <v>2.675359712230211E-2</v>
      </c>
      <c r="O13" s="4">
        <f t="shared" si="3"/>
        <v>11899.999999999978</v>
      </c>
    </row>
    <row r="14" spans="1:15" x14ac:dyDescent="0.3">
      <c r="A14" s="3" t="s">
        <v>38</v>
      </c>
      <c r="B14" s="3" t="s">
        <v>23</v>
      </c>
      <c r="C14" s="5">
        <v>44994</v>
      </c>
      <c r="D14" s="5">
        <v>45011</v>
      </c>
      <c r="E14" s="3" t="s">
        <v>39</v>
      </c>
      <c r="F14" s="3" t="s">
        <v>35</v>
      </c>
      <c r="G14" s="3">
        <v>5000</v>
      </c>
      <c r="H14" s="3">
        <v>86.74</v>
      </c>
      <c r="I14" s="3">
        <v>74.86</v>
      </c>
      <c r="J14" s="3">
        <v>51</v>
      </c>
      <c r="K14" s="3" t="s">
        <v>15</v>
      </c>
      <c r="L14" s="3">
        <f t="shared" si="0"/>
        <v>17</v>
      </c>
      <c r="M14" s="4">
        <f t="shared" si="1"/>
        <v>11.879999999999995</v>
      </c>
      <c r="N14" s="6">
        <f t="shared" si="2"/>
        <v>0.13696103297210049</v>
      </c>
      <c r="O14" s="4">
        <f t="shared" si="3"/>
        <v>59399.999999999978</v>
      </c>
    </row>
    <row r="15" spans="1:15" x14ac:dyDescent="0.3">
      <c r="A15" s="3" t="s">
        <v>40</v>
      </c>
      <c r="B15" s="3" t="s">
        <v>23</v>
      </c>
      <c r="C15" s="5">
        <v>44594</v>
      </c>
      <c r="D15" s="3"/>
      <c r="E15" s="3" t="s">
        <v>21</v>
      </c>
      <c r="F15" s="3" t="s">
        <v>18</v>
      </c>
      <c r="G15" s="3">
        <v>5000</v>
      </c>
      <c r="H15" s="3">
        <v>18.3</v>
      </c>
      <c r="I15" s="3">
        <v>16.88</v>
      </c>
      <c r="J15" s="3"/>
      <c r="K15" s="3" t="s">
        <v>15</v>
      </c>
      <c r="L15" s="3" t="str">
        <f t="shared" si="0"/>
        <v/>
      </c>
      <c r="M15" s="4">
        <f t="shared" si="1"/>
        <v>1.4200000000000017</v>
      </c>
      <c r="N15" s="6">
        <f t="shared" si="2"/>
        <v>7.7595628415300641E-2</v>
      </c>
      <c r="O15" s="4">
        <f t="shared" si="3"/>
        <v>7100.0000000000082</v>
      </c>
    </row>
    <row r="16" spans="1:15" x14ac:dyDescent="0.3">
      <c r="A16" s="3" t="s">
        <v>41</v>
      </c>
      <c r="B16" s="3" t="s">
        <v>17</v>
      </c>
      <c r="C16" s="5">
        <v>44592</v>
      </c>
      <c r="D16" s="5">
        <v>44610</v>
      </c>
      <c r="E16" s="3" t="s">
        <v>39</v>
      </c>
      <c r="F16" s="3" t="s">
        <v>35</v>
      </c>
      <c r="G16" s="3">
        <v>5000</v>
      </c>
      <c r="H16" s="3">
        <v>54.5</v>
      </c>
      <c r="I16" s="3">
        <v>48.45</v>
      </c>
      <c r="J16" s="3">
        <v>22</v>
      </c>
      <c r="K16" s="3" t="s">
        <v>15</v>
      </c>
      <c r="L16" s="3">
        <f t="shared" si="0"/>
        <v>18</v>
      </c>
      <c r="M16" s="4">
        <f t="shared" si="1"/>
        <v>6.0499999999999972</v>
      </c>
      <c r="N16" s="6">
        <f t="shared" si="2"/>
        <v>0.11100917431192656</v>
      </c>
      <c r="O16" s="4">
        <f t="shared" si="3"/>
        <v>30249.999999999985</v>
      </c>
    </row>
    <row r="17" spans="1:15" x14ac:dyDescent="0.3">
      <c r="A17" s="3" t="s">
        <v>42</v>
      </c>
      <c r="B17" s="3" t="s">
        <v>23</v>
      </c>
      <c r="C17" s="5">
        <v>44657</v>
      </c>
      <c r="D17" s="5">
        <v>44672</v>
      </c>
      <c r="E17" s="3" t="s">
        <v>24</v>
      </c>
      <c r="F17" s="3" t="s">
        <v>18</v>
      </c>
      <c r="G17" s="3">
        <v>5000</v>
      </c>
      <c r="H17" s="3">
        <v>15.41</v>
      </c>
      <c r="I17" s="3">
        <v>15.12</v>
      </c>
      <c r="J17" s="3"/>
      <c r="K17" s="3" t="s">
        <v>15</v>
      </c>
      <c r="L17" s="3">
        <f t="shared" si="0"/>
        <v>15</v>
      </c>
      <c r="M17" s="4">
        <f t="shared" si="1"/>
        <v>0.29000000000000092</v>
      </c>
      <c r="N17" s="6">
        <f t="shared" si="2"/>
        <v>1.881894873458799E-2</v>
      </c>
      <c r="O17" s="4">
        <f t="shared" si="3"/>
        <v>1450.0000000000045</v>
      </c>
    </row>
    <row r="18" spans="1:15" x14ac:dyDescent="0.3">
      <c r="A18" s="3" t="s">
        <v>43</v>
      </c>
      <c r="B18" s="3" t="s">
        <v>17</v>
      </c>
      <c r="C18" s="5">
        <v>44785</v>
      </c>
      <c r="D18" s="5">
        <v>44804</v>
      </c>
      <c r="E18" s="3" t="s">
        <v>21</v>
      </c>
      <c r="F18" s="3" t="s">
        <v>18</v>
      </c>
      <c r="G18" s="3">
        <v>1173</v>
      </c>
      <c r="H18" s="3">
        <v>61.54</v>
      </c>
      <c r="I18" s="3">
        <v>55.49</v>
      </c>
      <c r="J18" s="3">
        <v>172</v>
      </c>
      <c r="K18" s="3" t="s">
        <v>27</v>
      </c>
      <c r="L18" s="3">
        <f t="shared" si="0"/>
        <v>19</v>
      </c>
      <c r="M18" s="4">
        <f t="shared" si="1"/>
        <v>6.0499999999999972</v>
      </c>
      <c r="N18" s="6">
        <f t="shared" si="2"/>
        <v>9.8310042248943727E-2</v>
      </c>
      <c r="O18" s="4">
        <f t="shared" si="3"/>
        <v>7096.6499999999969</v>
      </c>
    </row>
    <row r="19" spans="1:15" x14ac:dyDescent="0.3">
      <c r="A19" s="3" t="s">
        <v>44</v>
      </c>
      <c r="B19" s="3" t="s">
        <v>29</v>
      </c>
      <c r="C19" s="5">
        <v>44800</v>
      </c>
      <c r="D19" s="5">
        <v>44808</v>
      </c>
      <c r="E19" s="3" t="s">
        <v>26</v>
      </c>
      <c r="F19" s="3" t="s">
        <v>18</v>
      </c>
      <c r="G19" s="3">
        <v>921</v>
      </c>
      <c r="H19" s="3">
        <v>51.48</v>
      </c>
      <c r="I19" s="3">
        <v>50.61</v>
      </c>
      <c r="J19" s="3"/>
      <c r="K19" s="3" t="s">
        <v>15</v>
      </c>
      <c r="L19" s="3">
        <f t="shared" si="0"/>
        <v>8</v>
      </c>
      <c r="M19" s="4">
        <f t="shared" si="1"/>
        <v>0.86999999999999744</v>
      </c>
      <c r="N19" s="6">
        <f t="shared" si="2"/>
        <v>1.6899766899766851E-2</v>
      </c>
      <c r="O19" s="4">
        <f t="shared" si="3"/>
        <v>801.26999999999759</v>
      </c>
    </row>
    <row r="20" spans="1:15" x14ac:dyDescent="0.3">
      <c r="A20" s="3" t="s">
        <v>45</v>
      </c>
      <c r="B20" s="3" t="s">
        <v>20</v>
      </c>
      <c r="C20" s="5">
        <v>45079</v>
      </c>
      <c r="D20" s="5">
        <v>45082</v>
      </c>
      <c r="E20" s="3" t="s">
        <v>26</v>
      </c>
      <c r="F20" s="3" t="s">
        <v>33</v>
      </c>
      <c r="G20" s="3">
        <v>1737</v>
      </c>
      <c r="H20" s="3">
        <v>97.53</v>
      </c>
      <c r="I20" s="3">
        <v>87.37</v>
      </c>
      <c r="J20" s="3">
        <v>79</v>
      </c>
      <c r="K20" s="3" t="s">
        <v>15</v>
      </c>
      <c r="L20" s="3">
        <f t="shared" si="0"/>
        <v>3</v>
      </c>
      <c r="M20" s="4">
        <f t="shared" si="1"/>
        <v>10.159999999999997</v>
      </c>
      <c r="N20" s="6">
        <f t="shared" si="2"/>
        <v>0.104173074951297</v>
      </c>
      <c r="O20" s="4">
        <f t="shared" si="3"/>
        <v>17647.919999999995</v>
      </c>
    </row>
    <row r="21" spans="1:15" x14ac:dyDescent="0.3">
      <c r="A21" s="3" t="s">
        <v>46</v>
      </c>
      <c r="B21" s="3" t="s">
        <v>17</v>
      </c>
      <c r="C21" s="5">
        <v>45178</v>
      </c>
      <c r="D21" s="5">
        <v>45193</v>
      </c>
      <c r="E21" s="3" t="s">
        <v>26</v>
      </c>
      <c r="F21" s="3" t="s">
        <v>18</v>
      </c>
      <c r="G21" s="3">
        <v>180</v>
      </c>
      <c r="H21" s="3">
        <v>45.74</v>
      </c>
      <c r="I21" s="3">
        <v>38.89</v>
      </c>
      <c r="J21" s="3"/>
      <c r="K21" s="3" t="s">
        <v>27</v>
      </c>
      <c r="L21" s="3">
        <f t="shared" si="0"/>
        <v>15</v>
      </c>
      <c r="M21" s="4">
        <f t="shared" si="1"/>
        <v>6.8500000000000014</v>
      </c>
      <c r="N21" s="6">
        <f t="shared" si="2"/>
        <v>0.14975951027547008</v>
      </c>
      <c r="O21" s="4">
        <f t="shared" si="3"/>
        <v>1233.0000000000002</v>
      </c>
    </row>
    <row r="22" spans="1:15" x14ac:dyDescent="0.3">
      <c r="A22" s="3" t="s">
        <v>47</v>
      </c>
      <c r="B22" s="3" t="s">
        <v>29</v>
      </c>
      <c r="C22" s="5">
        <v>44589</v>
      </c>
      <c r="D22" s="5">
        <v>44604</v>
      </c>
      <c r="E22" s="3" t="s">
        <v>39</v>
      </c>
      <c r="F22" s="3" t="s">
        <v>14</v>
      </c>
      <c r="G22" s="3">
        <v>1735</v>
      </c>
      <c r="H22" s="3">
        <v>20.54</v>
      </c>
      <c r="I22" s="3">
        <v>19.690000000000001</v>
      </c>
      <c r="J22" s="3">
        <v>49</v>
      </c>
      <c r="K22" s="3" t="s">
        <v>15</v>
      </c>
      <c r="L22" s="3">
        <f t="shared" si="0"/>
        <v>15</v>
      </c>
      <c r="M22" s="4">
        <f t="shared" si="1"/>
        <v>0.84999999999999787</v>
      </c>
      <c r="N22" s="6">
        <f t="shared" si="2"/>
        <v>4.1382667964946343E-2</v>
      </c>
      <c r="O22" s="4">
        <f t="shared" si="3"/>
        <v>1474.7499999999964</v>
      </c>
    </row>
    <row r="23" spans="1:15" x14ac:dyDescent="0.3">
      <c r="A23" s="3" t="s">
        <v>48</v>
      </c>
      <c r="B23" s="3" t="s">
        <v>17</v>
      </c>
      <c r="C23" s="5">
        <v>45136</v>
      </c>
      <c r="D23" s="5">
        <v>45149</v>
      </c>
      <c r="E23" s="3" t="s">
        <v>26</v>
      </c>
      <c r="F23" s="3" t="s">
        <v>18</v>
      </c>
      <c r="G23" s="3">
        <v>1382</v>
      </c>
      <c r="H23" s="3">
        <v>24.93</v>
      </c>
      <c r="I23" s="3">
        <v>23.75</v>
      </c>
      <c r="J23" s="3"/>
      <c r="K23" s="3" t="s">
        <v>15</v>
      </c>
      <c r="L23" s="3">
        <f t="shared" si="0"/>
        <v>13</v>
      </c>
      <c r="M23" s="4">
        <f t="shared" si="1"/>
        <v>1.1799999999999997</v>
      </c>
      <c r="N23" s="6">
        <f t="shared" si="2"/>
        <v>4.733253108704371E-2</v>
      </c>
      <c r="O23" s="4">
        <f t="shared" si="3"/>
        <v>1630.7599999999995</v>
      </c>
    </row>
    <row r="24" spans="1:15" x14ac:dyDescent="0.3">
      <c r="A24" s="3" t="s">
        <v>49</v>
      </c>
      <c r="B24" s="3" t="s">
        <v>29</v>
      </c>
      <c r="C24" s="5">
        <v>44765</v>
      </c>
      <c r="D24" s="5">
        <v>44781</v>
      </c>
      <c r="E24" s="3" t="s">
        <v>21</v>
      </c>
      <c r="F24" s="3" t="s">
        <v>18</v>
      </c>
      <c r="G24" s="3">
        <v>819</v>
      </c>
      <c r="H24" s="3">
        <v>80.89</v>
      </c>
      <c r="I24" s="3">
        <v>77.03</v>
      </c>
      <c r="J24" s="3">
        <v>29</v>
      </c>
      <c r="K24" s="3" t="s">
        <v>15</v>
      </c>
      <c r="L24" s="3">
        <f t="shared" si="0"/>
        <v>16</v>
      </c>
      <c r="M24" s="4">
        <f t="shared" si="1"/>
        <v>3.8599999999999994</v>
      </c>
      <c r="N24" s="6">
        <f t="shared" si="2"/>
        <v>4.7719124737297558E-2</v>
      </c>
      <c r="O24" s="4">
        <f t="shared" si="3"/>
        <v>3161.3399999999997</v>
      </c>
    </row>
    <row r="25" spans="1:15" x14ac:dyDescent="0.3">
      <c r="A25" s="3" t="s">
        <v>50</v>
      </c>
      <c r="B25" s="3" t="s">
        <v>23</v>
      </c>
      <c r="C25" s="5">
        <v>45227</v>
      </c>
      <c r="D25" s="5">
        <v>45233</v>
      </c>
      <c r="E25" s="3" t="s">
        <v>13</v>
      </c>
      <c r="F25" s="3" t="s">
        <v>33</v>
      </c>
      <c r="G25" s="3">
        <v>393</v>
      </c>
      <c r="H25" s="3">
        <v>72.53</v>
      </c>
      <c r="I25" s="3">
        <v>66.31</v>
      </c>
      <c r="J25" s="3">
        <v>42</v>
      </c>
      <c r="K25" s="3" t="s">
        <v>27</v>
      </c>
      <c r="L25" s="3">
        <f t="shared" si="0"/>
        <v>6</v>
      </c>
      <c r="M25" s="4">
        <f t="shared" si="1"/>
        <v>6.2199999999999989</v>
      </c>
      <c r="N25" s="6">
        <f t="shared" si="2"/>
        <v>8.5757617537570649E-2</v>
      </c>
      <c r="O25" s="4">
        <f t="shared" si="3"/>
        <v>2444.4599999999996</v>
      </c>
    </row>
    <row r="26" spans="1:15" x14ac:dyDescent="0.3">
      <c r="A26" s="3" t="s">
        <v>51</v>
      </c>
      <c r="B26" s="3" t="s">
        <v>23</v>
      </c>
      <c r="C26" s="5">
        <v>45280</v>
      </c>
      <c r="D26" s="5">
        <v>45292</v>
      </c>
      <c r="E26" s="3" t="s">
        <v>21</v>
      </c>
      <c r="F26" s="3" t="s">
        <v>18</v>
      </c>
      <c r="G26" s="3">
        <v>1565</v>
      </c>
      <c r="H26" s="3">
        <v>21.3</v>
      </c>
      <c r="I26" s="3">
        <v>20.09</v>
      </c>
      <c r="J26" s="3">
        <v>161</v>
      </c>
      <c r="K26" s="3" t="s">
        <v>15</v>
      </c>
      <c r="L26" s="3">
        <f t="shared" si="0"/>
        <v>12</v>
      </c>
      <c r="M26" s="4">
        <f t="shared" si="1"/>
        <v>1.2100000000000009</v>
      </c>
      <c r="N26" s="6">
        <f t="shared" si="2"/>
        <v>5.6807511737089242E-2</v>
      </c>
      <c r="O26" s="4">
        <f t="shared" si="3"/>
        <v>1893.6500000000012</v>
      </c>
    </row>
    <row r="27" spans="1:15" x14ac:dyDescent="0.3">
      <c r="A27" s="3" t="s">
        <v>52</v>
      </c>
      <c r="B27" s="3" t="s">
        <v>29</v>
      </c>
      <c r="C27" s="5">
        <v>45120</v>
      </c>
      <c r="D27" s="5">
        <v>45131</v>
      </c>
      <c r="E27" s="3" t="s">
        <v>24</v>
      </c>
      <c r="F27" s="3" t="s">
        <v>18</v>
      </c>
      <c r="G27" s="3">
        <v>1487</v>
      </c>
      <c r="H27" s="3">
        <v>19.149999999999999</v>
      </c>
      <c r="I27" s="3">
        <v>17.239999999999998</v>
      </c>
      <c r="J27" s="3"/>
      <c r="K27" s="3" t="s">
        <v>15</v>
      </c>
      <c r="L27" s="3">
        <f t="shared" si="0"/>
        <v>11</v>
      </c>
      <c r="M27" s="4">
        <f t="shared" si="1"/>
        <v>1.9100000000000001</v>
      </c>
      <c r="N27" s="6">
        <f t="shared" si="2"/>
        <v>9.9738903394255896E-2</v>
      </c>
      <c r="O27" s="4">
        <f t="shared" si="3"/>
        <v>2840.17</v>
      </c>
    </row>
    <row r="28" spans="1:15" x14ac:dyDescent="0.3">
      <c r="A28" s="3" t="s">
        <v>53</v>
      </c>
      <c r="B28" s="3" t="s">
        <v>12</v>
      </c>
      <c r="C28" s="5">
        <v>44991</v>
      </c>
      <c r="D28" s="5">
        <v>45011</v>
      </c>
      <c r="E28" s="3" t="s">
        <v>21</v>
      </c>
      <c r="F28" s="3" t="s">
        <v>18</v>
      </c>
      <c r="G28" s="3">
        <v>855</v>
      </c>
      <c r="H28" s="3">
        <v>78.2</v>
      </c>
      <c r="I28" s="3">
        <v>67.16</v>
      </c>
      <c r="J28" s="3">
        <v>17</v>
      </c>
      <c r="K28" s="3" t="s">
        <v>15</v>
      </c>
      <c r="L28" s="3">
        <f t="shared" si="0"/>
        <v>20</v>
      </c>
      <c r="M28" s="4">
        <f t="shared" si="1"/>
        <v>11.040000000000006</v>
      </c>
      <c r="N28" s="6">
        <f t="shared" si="2"/>
        <v>0.14117647058823538</v>
      </c>
      <c r="O28" s="4">
        <f t="shared" si="3"/>
        <v>9439.2000000000062</v>
      </c>
    </row>
    <row r="29" spans="1:15" x14ac:dyDescent="0.3">
      <c r="A29" s="3" t="s">
        <v>54</v>
      </c>
      <c r="B29" s="3" t="s">
        <v>29</v>
      </c>
      <c r="C29" s="5">
        <v>44787</v>
      </c>
      <c r="D29" s="5">
        <v>44796</v>
      </c>
      <c r="E29" s="3" t="s">
        <v>26</v>
      </c>
      <c r="F29" s="3" t="s">
        <v>18</v>
      </c>
      <c r="G29" s="3">
        <v>435</v>
      </c>
      <c r="H29" s="3">
        <v>17.13</v>
      </c>
      <c r="I29" s="3">
        <v>15.84</v>
      </c>
      <c r="J29" s="3">
        <v>8</v>
      </c>
      <c r="K29" s="3" t="s">
        <v>15</v>
      </c>
      <c r="L29" s="3">
        <f t="shared" si="0"/>
        <v>9</v>
      </c>
      <c r="M29" s="4">
        <f t="shared" si="1"/>
        <v>1.2899999999999991</v>
      </c>
      <c r="N29" s="6">
        <f t="shared" si="2"/>
        <v>7.5306479859894873E-2</v>
      </c>
      <c r="O29" s="4">
        <f t="shared" si="3"/>
        <v>561.14999999999964</v>
      </c>
    </row>
    <row r="30" spans="1:15" x14ac:dyDescent="0.3">
      <c r="A30" s="3" t="s">
        <v>55</v>
      </c>
      <c r="B30" s="3" t="s">
        <v>17</v>
      </c>
      <c r="C30" s="5">
        <v>45021</v>
      </c>
      <c r="D30" s="5">
        <v>45038</v>
      </c>
      <c r="E30" s="3" t="s">
        <v>21</v>
      </c>
      <c r="F30" s="3" t="s">
        <v>18</v>
      </c>
      <c r="G30" s="3">
        <v>1265</v>
      </c>
      <c r="H30" s="3">
        <v>90.26</v>
      </c>
      <c r="I30" s="3">
        <v>79.47</v>
      </c>
      <c r="J30" s="3">
        <v>187</v>
      </c>
      <c r="K30" s="3" t="s">
        <v>15</v>
      </c>
      <c r="L30" s="3">
        <f t="shared" si="0"/>
        <v>17</v>
      </c>
      <c r="M30" s="4">
        <f t="shared" si="1"/>
        <v>10.790000000000006</v>
      </c>
      <c r="N30" s="6">
        <f t="shared" si="2"/>
        <v>0.11954354088189681</v>
      </c>
      <c r="O30" s="4">
        <f t="shared" si="3"/>
        <v>13649.350000000008</v>
      </c>
    </row>
    <row r="31" spans="1:15" x14ac:dyDescent="0.3">
      <c r="A31" s="3" t="s">
        <v>56</v>
      </c>
      <c r="B31" s="3" t="s">
        <v>29</v>
      </c>
      <c r="C31" s="5">
        <v>45165</v>
      </c>
      <c r="D31" s="3"/>
      <c r="E31" s="3" t="s">
        <v>21</v>
      </c>
      <c r="F31" s="3" t="s">
        <v>18</v>
      </c>
      <c r="G31" s="3">
        <v>1005</v>
      </c>
      <c r="H31" s="3">
        <v>80.55</v>
      </c>
      <c r="I31" s="3">
        <v>73.31</v>
      </c>
      <c r="J31" s="3">
        <v>30</v>
      </c>
      <c r="K31" s="3" t="s">
        <v>15</v>
      </c>
      <c r="L31" s="3" t="str">
        <f t="shared" si="0"/>
        <v/>
      </c>
      <c r="M31" s="4">
        <f t="shared" si="1"/>
        <v>7.2399999999999949</v>
      </c>
      <c r="N31" s="6">
        <f t="shared" si="2"/>
        <v>8.9882060831781435E-2</v>
      </c>
      <c r="O31" s="4">
        <f t="shared" si="3"/>
        <v>7276.1999999999953</v>
      </c>
    </row>
    <row r="32" spans="1:15" x14ac:dyDescent="0.3">
      <c r="A32" s="3" t="s">
        <v>57</v>
      </c>
      <c r="B32" s="3" t="s">
        <v>20</v>
      </c>
      <c r="C32" s="5">
        <v>44846</v>
      </c>
      <c r="D32" s="5">
        <v>44860</v>
      </c>
      <c r="E32" s="3" t="s">
        <v>39</v>
      </c>
      <c r="F32" s="3" t="s">
        <v>18</v>
      </c>
      <c r="G32" s="3">
        <v>326</v>
      </c>
      <c r="H32" s="3">
        <v>18.100000000000001</v>
      </c>
      <c r="I32" s="3">
        <v>15.92</v>
      </c>
      <c r="J32" s="3"/>
      <c r="K32" s="3" t="s">
        <v>27</v>
      </c>
      <c r="L32" s="3">
        <f t="shared" si="0"/>
        <v>14</v>
      </c>
      <c r="M32" s="4">
        <f t="shared" si="1"/>
        <v>2.1800000000000015</v>
      </c>
      <c r="N32" s="6">
        <f t="shared" si="2"/>
        <v>0.12044198895027632</v>
      </c>
      <c r="O32" s="4">
        <f t="shared" si="3"/>
        <v>710.68000000000052</v>
      </c>
    </row>
    <row r="33" spans="1:15" x14ac:dyDescent="0.3">
      <c r="A33" s="3" t="s">
        <v>58</v>
      </c>
      <c r="B33" s="3" t="s">
        <v>12</v>
      </c>
      <c r="C33" s="5">
        <v>44568</v>
      </c>
      <c r="D33" s="5">
        <v>44576</v>
      </c>
      <c r="E33" s="3" t="s">
        <v>13</v>
      </c>
      <c r="F33" s="3" t="s">
        <v>18</v>
      </c>
      <c r="G33" s="3">
        <v>1234</v>
      </c>
      <c r="H33" s="3">
        <v>17.64</v>
      </c>
      <c r="I33" s="3">
        <v>15.66</v>
      </c>
      <c r="J33" s="3">
        <v>26</v>
      </c>
      <c r="K33" s="3" t="s">
        <v>15</v>
      </c>
      <c r="L33" s="3">
        <f t="shared" si="0"/>
        <v>8</v>
      </c>
      <c r="M33" s="4">
        <f t="shared" si="1"/>
        <v>1.9800000000000004</v>
      </c>
      <c r="N33" s="6">
        <f t="shared" si="2"/>
        <v>0.1122448979591837</v>
      </c>
      <c r="O33" s="4">
        <f t="shared" si="3"/>
        <v>2443.3200000000006</v>
      </c>
    </row>
    <row r="34" spans="1:15" x14ac:dyDescent="0.3">
      <c r="A34" s="3" t="s">
        <v>59</v>
      </c>
      <c r="B34" s="3" t="s">
        <v>29</v>
      </c>
      <c r="C34" s="5">
        <v>44725</v>
      </c>
      <c r="D34" s="5">
        <v>44741</v>
      </c>
      <c r="E34" s="3" t="s">
        <v>21</v>
      </c>
      <c r="F34" s="3" t="s">
        <v>18</v>
      </c>
      <c r="G34" s="3">
        <v>509</v>
      </c>
      <c r="H34" s="3">
        <v>101.27</v>
      </c>
      <c r="I34" s="3">
        <v>97.82</v>
      </c>
      <c r="J34" s="3">
        <v>19</v>
      </c>
      <c r="K34" s="3" t="s">
        <v>15</v>
      </c>
      <c r="L34" s="3">
        <f t="shared" si="0"/>
        <v>16</v>
      </c>
      <c r="M34" s="4">
        <f t="shared" si="1"/>
        <v>3.4500000000000028</v>
      </c>
      <c r="N34" s="6">
        <f t="shared" si="2"/>
        <v>3.4067344722030247E-2</v>
      </c>
      <c r="O34" s="4">
        <f t="shared" si="3"/>
        <v>1756.0500000000015</v>
      </c>
    </row>
    <row r="35" spans="1:15" x14ac:dyDescent="0.3">
      <c r="A35" s="3" t="s">
        <v>60</v>
      </c>
      <c r="B35" s="3" t="s">
        <v>12</v>
      </c>
      <c r="C35" s="5">
        <v>45276</v>
      </c>
      <c r="D35" s="5">
        <v>45277</v>
      </c>
      <c r="E35" s="3" t="s">
        <v>24</v>
      </c>
      <c r="F35" s="3" t="s">
        <v>18</v>
      </c>
      <c r="G35" s="3">
        <v>1387</v>
      </c>
      <c r="H35" s="3">
        <v>48.71</v>
      </c>
      <c r="I35" s="3">
        <v>43.71</v>
      </c>
      <c r="J35" s="3">
        <v>27</v>
      </c>
      <c r="K35" s="3" t="s">
        <v>15</v>
      </c>
      <c r="L35" s="3">
        <f t="shared" si="0"/>
        <v>1</v>
      </c>
      <c r="M35" s="4">
        <f t="shared" si="1"/>
        <v>5</v>
      </c>
      <c r="N35" s="6">
        <f t="shared" si="2"/>
        <v>0.10264832683227264</v>
      </c>
      <c r="O35" s="4">
        <f t="shared" si="3"/>
        <v>6935</v>
      </c>
    </row>
    <row r="36" spans="1:15" x14ac:dyDescent="0.3">
      <c r="A36" s="3" t="s">
        <v>61</v>
      </c>
      <c r="B36" s="3" t="s">
        <v>12</v>
      </c>
      <c r="C36" s="5">
        <v>44994</v>
      </c>
      <c r="D36" s="5">
        <v>45002</v>
      </c>
      <c r="E36" s="3" t="s">
        <v>21</v>
      </c>
      <c r="F36" s="3" t="s">
        <v>18</v>
      </c>
      <c r="G36" s="3">
        <v>71</v>
      </c>
      <c r="H36" s="3">
        <v>46.39</v>
      </c>
      <c r="I36" s="3">
        <v>43.18</v>
      </c>
      <c r="J36" s="3">
        <v>0</v>
      </c>
      <c r="K36" s="3" t="s">
        <v>15</v>
      </c>
      <c r="L36" s="3">
        <f t="shared" si="0"/>
        <v>8</v>
      </c>
      <c r="M36" s="4">
        <f t="shared" si="1"/>
        <v>3.2100000000000009</v>
      </c>
      <c r="N36" s="6">
        <f t="shared" si="2"/>
        <v>6.919594740245745E-2</v>
      </c>
      <c r="O36" s="4">
        <f t="shared" si="3"/>
        <v>227.91000000000005</v>
      </c>
    </row>
    <row r="37" spans="1:15" x14ac:dyDescent="0.3">
      <c r="A37" s="3" t="s">
        <v>62</v>
      </c>
      <c r="B37" s="3" t="s">
        <v>29</v>
      </c>
      <c r="C37" s="5">
        <v>44910</v>
      </c>
      <c r="D37" s="5">
        <v>44918</v>
      </c>
      <c r="E37" s="3" t="s">
        <v>13</v>
      </c>
      <c r="F37" s="3" t="s">
        <v>18</v>
      </c>
      <c r="G37" s="3">
        <v>302</v>
      </c>
      <c r="H37" s="3">
        <v>87.73</v>
      </c>
      <c r="I37" s="3">
        <v>81.52</v>
      </c>
      <c r="J37" s="3">
        <v>9</v>
      </c>
      <c r="K37" s="3" t="s">
        <v>15</v>
      </c>
      <c r="L37" s="3">
        <f t="shared" si="0"/>
        <v>8</v>
      </c>
      <c r="M37" s="4">
        <f t="shared" si="1"/>
        <v>6.210000000000008</v>
      </c>
      <c r="N37" s="6">
        <f t="shared" si="2"/>
        <v>7.0785364185569452E-2</v>
      </c>
      <c r="O37" s="4">
        <f t="shared" si="3"/>
        <v>1875.4200000000023</v>
      </c>
    </row>
    <row r="38" spans="1:15" x14ac:dyDescent="0.3">
      <c r="A38" s="3" t="s">
        <v>63</v>
      </c>
      <c r="B38" s="3" t="s">
        <v>29</v>
      </c>
      <c r="C38" s="5">
        <v>44846</v>
      </c>
      <c r="D38" s="5">
        <v>44865</v>
      </c>
      <c r="E38" s="3" t="s">
        <v>13</v>
      </c>
      <c r="F38" s="3" t="s">
        <v>35</v>
      </c>
      <c r="G38" s="3">
        <v>797</v>
      </c>
      <c r="H38" s="3">
        <v>99.54</v>
      </c>
      <c r="I38" s="3">
        <v>91.37</v>
      </c>
      <c r="J38" s="3">
        <v>18</v>
      </c>
      <c r="K38" s="3" t="s">
        <v>15</v>
      </c>
      <c r="L38" s="3">
        <f t="shared" si="0"/>
        <v>19</v>
      </c>
      <c r="M38" s="4">
        <f t="shared" si="1"/>
        <v>8.1700000000000017</v>
      </c>
      <c r="N38" s="6">
        <f t="shared" si="2"/>
        <v>8.2077556761101081E-2</v>
      </c>
      <c r="O38" s="4">
        <f t="shared" si="3"/>
        <v>6511.4900000000016</v>
      </c>
    </row>
    <row r="39" spans="1:15" x14ac:dyDescent="0.3">
      <c r="A39" s="3" t="s">
        <v>64</v>
      </c>
      <c r="B39" s="3" t="s">
        <v>23</v>
      </c>
      <c r="C39" s="5">
        <v>44721</v>
      </c>
      <c r="D39" s="5">
        <v>44739</v>
      </c>
      <c r="E39" s="3" t="s">
        <v>13</v>
      </c>
      <c r="F39" s="3" t="s">
        <v>35</v>
      </c>
      <c r="G39" s="3">
        <v>906</v>
      </c>
      <c r="H39" s="3">
        <v>101.21</v>
      </c>
      <c r="I39" s="3">
        <v>90.9</v>
      </c>
      <c r="J39" s="3">
        <v>94</v>
      </c>
      <c r="K39" s="3" t="s">
        <v>15</v>
      </c>
      <c r="L39" s="3">
        <f t="shared" si="0"/>
        <v>18</v>
      </c>
      <c r="M39" s="4">
        <f t="shared" si="1"/>
        <v>10.309999999999988</v>
      </c>
      <c r="N39" s="6">
        <f t="shared" si="2"/>
        <v>0.10186740440667907</v>
      </c>
      <c r="O39" s="4">
        <f t="shared" si="3"/>
        <v>9340.8599999999897</v>
      </c>
    </row>
    <row r="40" spans="1:15" x14ac:dyDescent="0.3">
      <c r="A40" s="3" t="s">
        <v>65</v>
      </c>
      <c r="B40" s="3" t="s">
        <v>29</v>
      </c>
      <c r="C40" s="5">
        <v>44782</v>
      </c>
      <c r="D40" s="5">
        <v>44796</v>
      </c>
      <c r="E40" s="3" t="s">
        <v>13</v>
      </c>
      <c r="F40" s="3" t="s">
        <v>18</v>
      </c>
      <c r="G40" s="3">
        <v>1634</v>
      </c>
      <c r="H40" s="3">
        <v>80.53</v>
      </c>
      <c r="I40" s="3">
        <v>76.150000000000006</v>
      </c>
      <c r="J40" s="3">
        <v>50</v>
      </c>
      <c r="K40" s="3" t="s">
        <v>15</v>
      </c>
      <c r="L40" s="3">
        <f t="shared" si="0"/>
        <v>14</v>
      </c>
      <c r="M40" s="4">
        <f t="shared" si="1"/>
        <v>4.3799999999999955</v>
      </c>
      <c r="N40" s="6">
        <f t="shared" si="2"/>
        <v>5.4389668446541604E-2</v>
      </c>
      <c r="O40" s="4">
        <f t="shared" si="3"/>
        <v>7156.9199999999928</v>
      </c>
    </row>
    <row r="41" spans="1:15" x14ac:dyDescent="0.3">
      <c r="A41" s="3" t="s">
        <v>66</v>
      </c>
      <c r="B41" s="3" t="s">
        <v>29</v>
      </c>
      <c r="C41" s="5">
        <v>44906</v>
      </c>
      <c r="D41" s="3"/>
      <c r="E41" s="3" t="s">
        <v>13</v>
      </c>
      <c r="F41" s="3" t="s">
        <v>18</v>
      </c>
      <c r="G41" s="3">
        <v>524</v>
      </c>
      <c r="H41" s="3">
        <v>46.28</v>
      </c>
      <c r="I41" s="3">
        <v>39.65</v>
      </c>
      <c r="J41" s="3">
        <v>14</v>
      </c>
      <c r="K41" s="3" t="s">
        <v>15</v>
      </c>
      <c r="L41" s="3" t="str">
        <f t="shared" si="0"/>
        <v/>
      </c>
      <c r="M41" s="4">
        <f t="shared" si="1"/>
        <v>6.6300000000000026</v>
      </c>
      <c r="N41" s="6">
        <f t="shared" si="2"/>
        <v>0.14325842696629218</v>
      </c>
      <c r="O41" s="4">
        <f t="shared" si="3"/>
        <v>3474.1200000000013</v>
      </c>
    </row>
    <row r="42" spans="1:15" x14ac:dyDescent="0.3">
      <c r="A42" s="3" t="s">
        <v>67</v>
      </c>
      <c r="B42" s="3" t="s">
        <v>23</v>
      </c>
      <c r="C42" s="5">
        <v>44666</v>
      </c>
      <c r="D42" s="5">
        <v>44678</v>
      </c>
      <c r="E42" s="3" t="s">
        <v>39</v>
      </c>
      <c r="F42" s="3" t="s">
        <v>18</v>
      </c>
      <c r="G42" s="3">
        <v>1132</v>
      </c>
      <c r="H42" s="3">
        <v>17.78</v>
      </c>
      <c r="I42" s="3">
        <v>15.36</v>
      </c>
      <c r="J42" s="3">
        <v>96</v>
      </c>
      <c r="K42" s="3" t="s">
        <v>15</v>
      </c>
      <c r="L42" s="3">
        <f t="shared" si="0"/>
        <v>12</v>
      </c>
      <c r="M42" s="4">
        <f t="shared" si="1"/>
        <v>2.4200000000000017</v>
      </c>
      <c r="N42" s="6">
        <f t="shared" si="2"/>
        <v>0.13610798650168737</v>
      </c>
      <c r="O42" s="4">
        <f t="shared" si="3"/>
        <v>2739.4400000000019</v>
      </c>
    </row>
    <row r="43" spans="1:15" x14ac:dyDescent="0.3">
      <c r="A43" s="3" t="s">
        <v>68</v>
      </c>
      <c r="B43" s="3" t="s">
        <v>23</v>
      </c>
      <c r="C43" s="5">
        <v>44656</v>
      </c>
      <c r="D43" s="5">
        <v>44665</v>
      </c>
      <c r="E43" s="3" t="s">
        <v>13</v>
      </c>
      <c r="F43" s="3" t="s">
        <v>18</v>
      </c>
      <c r="G43" s="3">
        <v>560</v>
      </c>
      <c r="H43" s="3">
        <v>81.14</v>
      </c>
      <c r="I43" s="3">
        <v>77.87</v>
      </c>
      <c r="J43" s="3">
        <v>34</v>
      </c>
      <c r="K43" s="3" t="s">
        <v>27</v>
      </c>
      <c r="L43" s="3">
        <f t="shared" si="0"/>
        <v>9</v>
      </c>
      <c r="M43" s="4">
        <f t="shared" si="1"/>
        <v>3.269999999999996</v>
      </c>
      <c r="N43" s="6">
        <f t="shared" si="2"/>
        <v>4.030071481390185E-2</v>
      </c>
      <c r="O43" s="4">
        <f t="shared" si="3"/>
        <v>1831.1999999999978</v>
      </c>
    </row>
    <row r="44" spans="1:15" x14ac:dyDescent="0.3">
      <c r="A44" s="3" t="s">
        <v>69</v>
      </c>
      <c r="B44" s="3" t="s">
        <v>20</v>
      </c>
      <c r="C44" s="5">
        <v>44951</v>
      </c>
      <c r="D44" s="5">
        <v>44959</v>
      </c>
      <c r="E44" s="3" t="s">
        <v>39</v>
      </c>
      <c r="F44" s="3" t="s">
        <v>18</v>
      </c>
      <c r="G44" s="3">
        <v>1755</v>
      </c>
      <c r="H44" s="3">
        <v>63.87</v>
      </c>
      <c r="I44" s="3">
        <v>58.4</v>
      </c>
      <c r="J44" s="3">
        <v>85</v>
      </c>
      <c r="K44" s="3" t="s">
        <v>15</v>
      </c>
      <c r="L44" s="3">
        <f t="shared" si="0"/>
        <v>8</v>
      </c>
      <c r="M44" s="4">
        <f t="shared" si="1"/>
        <v>5.4699999999999989</v>
      </c>
      <c r="N44" s="6">
        <f t="shared" si="2"/>
        <v>8.5642711758258952E-2</v>
      </c>
      <c r="O44" s="4">
        <f t="shared" si="3"/>
        <v>9599.8499999999985</v>
      </c>
    </row>
    <row r="45" spans="1:15" x14ac:dyDescent="0.3">
      <c r="A45" s="3" t="s">
        <v>70</v>
      </c>
      <c r="B45" s="3" t="s">
        <v>29</v>
      </c>
      <c r="C45" s="5">
        <v>44661</v>
      </c>
      <c r="D45" s="5">
        <v>44668</v>
      </c>
      <c r="E45" s="3" t="s">
        <v>21</v>
      </c>
      <c r="F45" s="3" t="s">
        <v>18</v>
      </c>
      <c r="G45" s="3">
        <v>1549</v>
      </c>
      <c r="H45" s="3">
        <v>48.9</v>
      </c>
      <c r="I45" s="3">
        <v>42.42</v>
      </c>
      <c r="J45" s="3">
        <v>48</v>
      </c>
      <c r="K45" s="3" t="s">
        <v>15</v>
      </c>
      <c r="L45" s="3">
        <f t="shared" si="0"/>
        <v>7</v>
      </c>
      <c r="M45" s="4">
        <f t="shared" si="1"/>
        <v>6.4799999999999969</v>
      </c>
      <c r="N45" s="6">
        <f t="shared" si="2"/>
        <v>0.13251533742331281</v>
      </c>
      <c r="O45" s="4">
        <f t="shared" si="3"/>
        <v>10037.519999999995</v>
      </c>
    </row>
    <row r="46" spans="1:15" x14ac:dyDescent="0.3">
      <c r="A46" s="3" t="s">
        <v>71</v>
      </c>
      <c r="B46" s="3" t="s">
        <v>17</v>
      </c>
      <c r="C46" s="5">
        <v>44929</v>
      </c>
      <c r="D46" s="5">
        <v>44947</v>
      </c>
      <c r="E46" s="3" t="s">
        <v>21</v>
      </c>
      <c r="F46" s="3" t="s">
        <v>18</v>
      </c>
      <c r="G46" s="3">
        <v>749</v>
      </c>
      <c r="H46" s="3">
        <v>97.07</v>
      </c>
      <c r="I46" s="3">
        <v>94.16</v>
      </c>
      <c r="J46" s="3">
        <v>123</v>
      </c>
      <c r="K46" s="3" t="s">
        <v>15</v>
      </c>
      <c r="L46" s="3">
        <f t="shared" si="0"/>
        <v>18</v>
      </c>
      <c r="M46" s="4">
        <f t="shared" si="1"/>
        <v>2.9099999999999966</v>
      </c>
      <c r="N46" s="6">
        <f t="shared" si="2"/>
        <v>2.9978366127536796E-2</v>
      </c>
      <c r="O46" s="4">
        <f t="shared" si="3"/>
        <v>2179.5899999999974</v>
      </c>
    </row>
    <row r="47" spans="1:15" x14ac:dyDescent="0.3">
      <c r="A47" s="3" t="s">
        <v>72</v>
      </c>
      <c r="B47" s="3" t="s">
        <v>12</v>
      </c>
      <c r="C47" s="5">
        <v>44914</v>
      </c>
      <c r="D47" s="3"/>
      <c r="E47" s="3" t="s">
        <v>39</v>
      </c>
      <c r="F47" s="3" t="s">
        <v>18</v>
      </c>
      <c r="G47" s="3">
        <v>1025</v>
      </c>
      <c r="H47" s="3">
        <v>21.11</v>
      </c>
      <c r="I47" s="3">
        <v>19.25</v>
      </c>
      <c r="J47" s="3">
        <v>15</v>
      </c>
      <c r="K47" s="3" t="s">
        <v>15</v>
      </c>
      <c r="L47" s="3" t="str">
        <f t="shared" si="0"/>
        <v/>
      </c>
      <c r="M47" s="4">
        <f t="shared" si="1"/>
        <v>1.8599999999999994</v>
      </c>
      <c r="N47" s="6">
        <f t="shared" si="2"/>
        <v>8.8109900521080031E-2</v>
      </c>
      <c r="O47" s="4">
        <f t="shared" si="3"/>
        <v>1906.4999999999993</v>
      </c>
    </row>
    <row r="48" spans="1:15" x14ac:dyDescent="0.3">
      <c r="A48" s="3" t="s">
        <v>73</v>
      </c>
      <c r="B48" s="3" t="s">
        <v>23</v>
      </c>
      <c r="C48" s="5">
        <v>45180</v>
      </c>
      <c r="D48" s="5">
        <v>45187</v>
      </c>
      <c r="E48" s="3" t="s">
        <v>26</v>
      </c>
      <c r="F48" s="3" t="s">
        <v>18</v>
      </c>
      <c r="G48" s="3">
        <v>1856</v>
      </c>
      <c r="H48" s="3">
        <v>59.77</v>
      </c>
      <c r="I48" s="3">
        <v>50.81</v>
      </c>
      <c r="J48" s="3">
        <v>191</v>
      </c>
      <c r="K48" s="3" t="s">
        <v>15</v>
      </c>
      <c r="L48" s="3">
        <f t="shared" si="0"/>
        <v>7</v>
      </c>
      <c r="M48" s="4">
        <f t="shared" si="1"/>
        <v>8.9600000000000009</v>
      </c>
      <c r="N48" s="6">
        <f t="shared" si="2"/>
        <v>0.14990798059227037</v>
      </c>
      <c r="O48" s="4">
        <f t="shared" si="3"/>
        <v>16629.760000000002</v>
      </c>
    </row>
    <row r="49" spans="1:15" x14ac:dyDescent="0.3">
      <c r="A49" s="3" t="s">
        <v>74</v>
      </c>
      <c r="B49" s="3" t="s">
        <v>29</v>
      </c>
      <c r="C49" s="5">
        <v>44832</v>
      </c>
      <c r="D49" s="5">
        <v>44848</v>
      </c>
      <c r="E49" s="3" t="s">
        <v>13</v>
      </c>
      <c r="F49" s="3" t="s">
        <v>18</v>
      </c>
      <c r="G49" s="3">
        <v>239</v>
      </c>
      <c r="H49" s="3">
        <v>11.46</v>
      </c>
      <c r="I49" s="3">
        <v>11.28</v>
      </c>
      <c r="J49" s="3">
        <v>4</v>
      </c>
      <c r="K49" s="3" t="s">
        <v>15</v>
      </c>
      <c r="L49" s="3">
        <f t="shared" si="0"/>
        <v>16</v>
      </c>
      <c r="M49" s="4">
        <f t="shared" si="1"/>
        <v>0.18000000000000149</v>
      </c>
      <c r="N49" s="6">
        <f t="shared" si="2"/>
        <v>1.5706806282722641E-2</v>
      </c>
      <c r="O49" s="4">
        <f t="shared" si="3"/>
        <v>43.020000000000358</v>
      </c>
    </row>
    <row r="50" spans="1:15" x14ac:dyDescent="0.3">
      <c r="A50" s="3" t="s">
        <v>75</v>
      </c>
      <c r="B50" s="3" t="s">
        <v>17</v>
      </c>
      <c r="C50" s="5">
        <v>44606</v>
      </c>
      <c r="D50" s="5">
        <v>44625</v>
      </c>
      <c r="E50" s="3" t="s">
        <v>13</v>
      </c>
      <c r="F50" s="3" t="s">
        <v>35</v>
      </c>
      <c r="G50" s="3">
        <v>1007</v>
      </c>
      <c r="H50" s="3">
        <v>52.44</v>
      </c>
      <c r="I50" s="3">
        <v>46.06</v>
      </c>
      <c r="J50" s="3">
        <v>167</v>
      </c>
      <c r="K50" s="3" t="s">
        <v>15</v>
      </c>
      <c r="L50" s="3">
        <f t="shared" si="0"/>
        <v>19</v>
      </c>
      <c r="M50" s="4">
        <f t="shared" si="1"/>
        <v>6.3799999999999955</v>
      </c>
      <c r="N50" s="6">
        <f t="shared" si="2"/>
        <v>0.12166285278413416</v>
      </c>
      <c r="O50" s="4">
        <f t="shared" si="3"/>
        <v>6424.6599999999953</v>
      </c>
    </row>
    <row r="51" spans="1:15" x14ac:dyDescent="0.3">
      <c r="A51" s="3" t="s">
        <v>76</v>
      </c>
      <c r="B51" s="3" t="s">
        <v>12</v>
      </c>
      <c r="C51" s="5">
        <v>45032</v>
      </c>
      <c r="D51" s="3"/>
      <c r="E51" s="3" t="s">
        <v>21</v>
      </c>
      <c r="F51" s="3" t="s">
        <v>35</v>
      </c>
      <c r="G51" s="3">
        <v>736</v>
      </c>
      <c r="H51" s="3">
        <v>16.2</v>
      </c>
      <c r="I51" s="3">
        <v>15.33</v>
      </c>
      <c r="J51" s="3">
        <v>18</v>
      </c>
      <c r="K51" s="3" t="s">
        <v>15</v>
      </c>
      <c r="L51" s="3" t="str">
        <f t="shared" si="0"/>
        <v/>
      </c>
      <c r="M51" s="4">
        <f t="shared" si="1"/>
        <v>0.86999999999999922</v>
      </c>
      <c r="N51" s="6">
        <f t="shared" si="2"/>
        <v>5.3703703703703656E-2</v>
      </c>
      <c r="O51" s="4">
        <f t="shared" si="3"/>
        <v>640.31999999999948</v>
      </c>
    </row>
    <row r="52" spans="1:15" x14ac:dyDescent="0.3">
      <c r="A52" s="3" t="s">
        <v>77</v>
      </c>
      <c r="B52" s="3" t="s">
        <v>29</v>
      </c>
      <c r="C52" s="5">
        <v>45111</v>
      </c>
      <c r="D52" s="5">
        <v>45121</v>
      </c>
      <c r="E52" s="3" t="s">
        <v>39</v>
      </c>
      <c r="F52" s="3" t="s">
        <v>18</v>
      </c>
      <c r="G52" s="3">
        <v>1007</v>
      </c>
      <c r="H52" s="3">
        <v>22.56</v>
      </c>
      <c r="I52" s="3">
        <v>19.59</v>
      </c>
      <c r="J52" s="3"/>
      <c r="K52" s="3" t="s">
        <v>15</v>
      </c>
      <c r="L52" s="3">
        <f t="shared" si="0"/>
        <v>10</v>
      </c>
      <c r="M52" s="4">
        <f t="shared" si="1"/>
        <v>2.9699999999999989</v>
      </c>
      <c r="N52" s="6">
        <f t="shared" si="2"/>
        <v>0.13164893617021273</v>
      </c>
      <c r="O52" s="4">
        <f t="shared" si="3"/>
        <v>2990.7899999999991</v>
      </c>
    </row>
    <row r="53" spans="1:15" x14ac:dyDescent="0.3">
      <c r="A53" s="3" t="s">
        <v>78</v>
      </c>
      <c r="B53" s="3" t="s">
        <v>17</v>
      </c>
      <c r="C53" s="5">
        <v>44689</v>
      </c>
      <c r="D53" s="3"/>
      <c r="E53" s="3" t="s">
        <v>13</v>
      </c>
      <c r="F53" s="3" t="s">
        <v>18</v>
      </c>
      <c r="G53" s="3">
        <v>612</v>
      </c>
      <c r="H53" s="3">
        <v>20.99</v>
      </c>
      <c r="I53" s="3">
        <v>19.75</v>
      </c>
      <c r="J53" s="3">
        <v>102</v>
      </c>
      <c r="K53" s="3" t="s">
        <v>15</v>
      </c>
      <c r="L53" s="3" t="str">
        <f t="shared" si="0"/>
        <v/>
      </c>
      <c r="M53" s="4">
        <f t="shared" si="1"/>
        <v>1.2399999999999984</v>
      </c>
      <c r="N53" s="6">
        <f t="shared" si="2"/>
        <v>5.9075750357312939E-2</v>
      </c>
      <c r="O53" s="4">
        <f t="shared" si="3"/>
        <v>758.87999999999909</v>
      </c>
    </row>
    <row r="54" spans="1:15" x14ac:dyDescent="0.3">
      <c r="A54" s="3" t="s">
        <v>79</v>
      </c>
      <c r="B54" s="3" t="s">
        <v>12</v>
      </c>
      <c r="C54" s="5">
        <v>44949</v>
      </c>
      <c r="D54" s="5">
        <v>44959</v>
      </c>
      <c r="E54" s="3" t="s">
        <v>21</v>
      </c>
      <c r="F54" s="3" t="s">
        <v>35</v>
      </c>
      <c r="G54" s="3">
        <v>1949</v>
      </c>
      <c r="H54" s="3">
        <v>72.53</v>
      </c>
      <c r="I54" s="3">
        <v>63.26</v>
      </c>
      <c r="J54" s="3">
        <v>48</v>
      </c>
      <c r="K54" s="3" t="s">
        <v>27</v>
      </c>
      <c r="L54" s="3">
        <f t="shared" si="0"/>
        <v>10</v>
      </c>
      <c r="M54" s="4">
        <f t="shared" si="1"/>
        <v>9.2700000000000031</v>
      </c>
      <c r="N54" s="6">
        <f t="shared" si="2"/>
        <v>0.12780918240727979</v>
      </c>
      <c r="O54" s="4">
        <f t="shared" si="3"/>
        <v>18067.230000000007</v>
      </c>
    </row>
    <row r="55" spans="1:15" x14ac:dyDescent="0.3">
      <c r="A55" s="3" t="s">
        <v>80</v>
      </c>
      <c r="B55" s="3" t="s">
        <v>17</v>
      </c>
      <c r="C55" s="5">
        <v>44642</v>
      </c>
      <c r="D55" s="5">
        <v>44648</v>
      </c>
      <c r="E55" s="3" t="s">
        <v>13</v>
      </c>
      <c r="F55" s="3" t="s">
        <v>14</v>
      </c>
      <c r="G55" s="3">
        <v>1640</v>
      </c>
      <c r="H55" s="3">
        <v>77.92</v>
      </c>
      <c r="I55" s="3">
        <v>76.41</v>
      </c>
      <c r="J55" s="3">
        <v>262</v>
      </c>
      <c r="K55" s="3" t="s">
        <v>27</v>
      </c>
      <c r="L55" s="3">
        <f t="shared" si="0"/>
        <v>6</v>
      </c>
      <c r="M55" s="4">
        <f t="shared" si="1"/>
        <v>1.5100000000000051</v>
      </c>
      <c r="N55" s="6">
        <f t="shared" si="2"/>
        <v>1.937885010266947E-2</v>
      </c>
      <c r="O55" s="4">
        <f t="shared" si="3"/>
        <v>2476.4000000000083</v>
      </c>
    </row>
    <row r="56" spans="1:15" x14ac:dyDescent="0.3">
      <c r="A56" s="3" t="s">
        <v>81</v>
      </c>
      <c r="B56" s="3" t="s">
        <v>23</v>
      </c>
      <c r="C56" s="5">
        <v>45127</v>
      </c>
      <c r="D56" s="5">
        <v>45145</v>
      </c>
      <c r="E56" s="3" t="s">
        <v>39</v>
      </c>
      <c r="F56" s="3" t="s">
        <v>18</v>
      </c>
      <c r="G56" s="3">
        <v>1317</v>
      </c>
      <c r="H56" s="3">
        <v>68.13</v>
      </c>
      <c r="I56" s="3">
        <v>60.52</v>
      </c>
      <c r="J56" s="3">
        <v>136</v>
      </c>
      <c r="K56" s="3" t="s">
        <v>15</v>
      </c>
      <c r="L56" s="3">
        <f t="shared" si="0"/>
        <v>18</v>
      </c>
      <c r="M56" s="4">
        <f t="shared" si="1"/>
        <v>7.6099999999999923</v>
      </c>
      <c r="N56" s="6">
        <f t="shared" si="2"/>
        <v>0.11169822398356073</v>
      </c>
      <c r="O56" s="4">
        <f t="shared" si="3"/>
        <v>10022.36999999999</v>
      </c>
    </row>
    <row r="57" spans="1:15" x14ac:dyDescent="0.3">
      <c r="A57" s="3" t="s">
        <v>82</v>
      </c>
      <c r="B57" s="3" t="s">
        <v>29</v>
      </c>
      <c r="C57" s="5">
        <v>44862</v>
      </c>
      <c r="D57" s="5">
        <v>44864</v>
      </c>
      <c r="E57" s="3" t="s">
        <v>26</v>
      </c>
      <c r="F57" s="3" t="s">
        <v>18</v>
      </c>
      <c r="G57" s="3">
        <v>881</v>
      </c>
      <c r="H57" s="3">
        <v>100.94</v>
      </c>
      <c r="I57" s="3">
        <v>95.05</v>
      </c>
      <c r="J57" s="3">
        <v>30</v>
      </c>
      <c r="K57" s="3" t="s">
        <v>15</v>
      </c>
      <c r="L57" s="3">
        <f t="shared" si="0"/>
        <v>2</v>
      </c>
      <c r="M57" s="4">
        <f t="shared" si="1"/>
        <v>5.8900000000000006</v>
      </c>
      <c r="N57" s="6">
        <f t="shared" si="2"/>
        <v>5.8351495938181105E-2</v>
      </c>
      <c r="O57" s="4">
        <f t="shared" si="3"/>
        <v>5189.09</v>
      </c>
    </row>
    <row r="58" spans="1:15" x14ac:dyDescent="0.3">
      <c r="A58" s="3" t="s">
        <v>83</v>
      </c>
      <c r="B58" s="3" t="s">
        <v>17</v>
      </c>
      <c r="C58" s="5">
        <v>45205</v>
      </c>
      <c r="D58" s="3"/>
      <c r="E58" s="3" t="s">
        <v>24</v>
      </c>
      <c r="F58" s="3" t="s">
        <v>18</v>
      </c>
      <c r="G58" s="3">
        <v>1578</v>
      </c>
      <c r="H58" s="3">
        <v>48.33</v>
      </c>
      <c r="I58" s="3">
        <v>42.77</v>
      </c>
      <c r="J58" s="3">
        <v>206</v>
      </c>
      <c r="K58" s="3" t="s">
        <v>15</v>
      </c>
      <c r="L58" s="3" t="str">
        <f t="shared" si="0"/>
        <v/>
      </c>
      <c r="M58" s="4">
        <f t="shared" si="1"/>
        <v>5.5599999999999952</v>
      </c>
      <c r="N58" s="6">
        <f t="shared" si="2"/>
        <v>0.11504241671839427</v>
      </c>
      <c r="O58" s="4">
        <f t="shared" si="3"/>
        <v>8773.679999999993</v>
      </c>
    </row>
    <row r="59" spans="1:15" x14ac:dyDescent="0.3">
      <c r="A59" s="3" t="s">
        <v>84</v>
      </c>
      <c r="B59" s="3" t="s">
        <v>17</v>
      </c>
      <c r="C59" s="5">
        <v>45195</v>
      </c>
      <c r="D59" s="5">
        <v>45200</v>
      </c>
      <c r="E59" s="3" t="s">
        <v>21</v>
      </c>
      <c r="F59" s="3" t="s">
        <v>18</v>
      </c>
      <c r="G59" s="3">
        <v>1204</v>
      </c>
      <c r="H59" s="3">
        <v>39.29</v>
      </c>
      <c r="I59" s="3">
        <v>35.44</v>
      </c>
      <c r="J59" s="3"/>
      <c r="K59" s="3" t="s">
        <v>15</v>
      </c>
      <c r="L59" s="3">
        <f t="shared" si="0"/>
        <v>5</v>
      </c>
      <c r="M59" s="4">
        <f t="shared" si="1"/>
        <v>3.8500000000000014</v>
      </c>
      <c r="N59" s="6">
        <f t="shared" si="2"/>
        <v>9.7989310257062909E-2</v>
      </c>
      <c r="O59" s="4">
        <f t="shared" si="3"/>
        <v>4635.4000000000015</v>
      </c>
    </row>
    <row r="60" spans="1:15" x14ac:dyDescent="0.3">
      <c r="A60" s="3" t="s">
        <v>85</v>
      </c>
      <c r="B60" s="3" t="s">
        <v>29</v>
      </c>
      <c r="C60" s="5">
        <v>44932</v>
      </c>
      <c r="D60" s="5">
        <v>44948</v>
      </c>
      <c r="E60" s="3" t="s">
        <v>21</v>
      </c>
      <c r="F60" s="3" t="s">
        <v>35</v>
      </c>
      <c r="G60" s="3">
        <v>1558</v>
      </c>
      <c r="H60" s="3">
        <v>93.46</v>
      </c>
      <c r="I60" s="3">
        <v>91.27</v>
      </c>
      <c r="J60" s="3">
        <v>39</v>
      </c>
      <c r="K60" s="3" t="s">
        <v>15</v>
      </c>
      <c r="L60" s="3">
        <f t="shared" si="0"/>
        <v>16</v>
      </c>
      <c r="M60" s="4">
        <f t="shared" si="1"/>
        <v>2.1899999999999977</v>
      </c>
      <c r="N60" s="6">
        <f t="shared" si="2"/>
        <v>2.3432484485341298E-2</v>
      </c>
      <c r="O60" s="4">
        <f t="shared" si="3"/>
        <v>3412.0199999999963</v>
      </c>
    </row>
    <row r="61" spans="1:15" x14ac:dyDescent="0.3">
      <c r="A61" s="3" t="s">
        <v>86</v>
      </c>
      <c r="B61" s="3" t="s">
        <v>12</v>
      </c>
      <c r="C61" s="5">
        <v>45153</v>
      </c>
      <c r="D61" s="5">
        <v>45154</v>
      </c>
      <c r="E61" s="3" t="s">
        <v>24</v>
      </c>
      <c r="F61" s="3" t="s">
        <v>18</v>
      </c>
      <c r="G61" s="3">
        <v>1892</v>
      </c>
      <c r="H61" s="3">
        <v>32.99</v>
      </c>
      <c r="I61" s="3">
        <v>28.81</v>
      </c>
      <c r="J61" s="3">
        <v>35</v>
      </c>
      <c r="K61" s="3" t="s">
        <v>15</v>
      </c>
      <c r="L61" s="3">
        <f t="shared" si="0"/>
        <v>1</v>
      </c>
      <c r="M61" s="4">
        <f t="shared" si="1"/>
        <v>4.1800000000000033</v>
      </c>
      <c r="N61" s="6">
        <f t="shared" si="2"/>
        <v>0.12670506214004254</v>
      </c>
      <c r="O61" s="4">
        <f t="shared" si="3"/>
        <v>7908.5600000000059</v>
      </c>
    </row>
    <row r="62" spans="1:15" x14ac:dyDescent="0.3">
      <c r="A62" s="3" t="s">
        <v>87</v>
      </c>
      <c r="B62" s="3" t="s">
        <v>29</v>
      </c>
      <c r="C62" s="5">
        <v>44758</v>
      </c>
      <c r="D62" s="5">
        <v>44774</v>
      </c>
      <c r="E62" s="3" t="s">
        <v>24</v>
      </c>
      <c r="F62" s="3" t="s">
        <v>18</v>
      </c>
      <c r="G62" s="3">
        <v>696</v>
      </c>
      <c r="H62" s="3">
        <v>99.59</v>
      </c>
      <c r="I62" s="3">
        <v>90.18</v>
      </c>
      <c r="J62" s="3">
        <v>25</v>
      </c>
      <c r="K62" s="3" t="s">
        <v>15</v>
      </c>
      <c r="L62" s="3">
        <f t="shared" si="0"/>
        <v>16</v>
      </c>
      <c r="M62" s="4">
        <f t="shared" si="1"/>
        <v>9.4099999999999966</v>
      </c>
      <c r="N62" s="6">
        <f t="shared" si="2"/>
        <v>9.448739833316594E-2</v>
      </c>
      <c r="O62" s="4">
        <f t="shared" si="3"/>
        <v>6549.3599999999979</v>
      </c>
    </row>
    <row r="63" spans="1:15" x14ac:dyDescent="0.3">
      <c r="A63" s="3" t="s">
        <v>88</v>
      </c>
      <c r="B63" s="3" t="s">
        <v>17</v>
      </c>
      <c r="C63" s="5">
        <v>45283</v>
      </c>
      <c r="D63" s="5">
        <v>45294</v>
      </c>
      <c r="E63" s="3" t="s">
        <v>21</v>
      </c>
      <c r="F63" s="3" t="s">
        <v>33</v>
      </c>
      <c r="G63" s="3">
        <v>70</v>
      </c>
      <c r="H63" s="3">
        <v>12.37</v>
      </c>
      <c r="I63" s="3">
        <v>11.04</v>
      </c>
      <c r="J63" s="3">
        <v>10</v>
      </c>
      <c r="K63" s="3" t="s">
        <v>15</v>
      </c>
      <c r="L63" s="3">
        <f t="shared" si="0"/>
        <v>11</v>
      </c>
      <c r="M63" s="4">
        <f t="shared" si="1"/>
        <v>1.33</v>
      </c>
      <c r="N63" s="6">
        <f t="shared" si="2"/>
        <v>0.10751818916734035</v>
      </c>
      <c r="O63" s="4">
        <f t="shared" si="3"/>
        <v>93.100000000000009</v>
      </c>
    </row>
    <row r="64" spans="1:15" x14ac:dyDescent="0.3">
      <c r="A64" s="3" t="s">
        <v>89</v>
      </c>
      <c r="B64" s="3" t="s">
        <v>20</v>
      </c>
      <c r="C64" s="5">
        <v>44633</v>
      </c>
      <c r="D64" s="5">
        <v>44635</v>
      </c>
      <c r="E64" s="3" t="s">
        <v>26</v>
      </c>
      <c r="F64" s="3" t="s">
        <v>18</v>
      </c>
      <c r="G64" s="3">
        <v>890</v>
      </c>
      <c r="H64" s="3">
        <v>98.26</v>
      </c>
      <c r="I64" s="3">
        <v>93.14</v>
      </c>
      <c r="J64" s="3">
        <v>49</v>
      </c>
      <c r="K64" s="3" t="s">
        <v>15</v>
      </c>
      <c r="L64" s="3">
        <f t="shared" si="0"/>
        <v>2</v>
      </c>
      <c r="M64" s="4">
        <f t="shared" si="1"/>
        <v>5.1200000000000045</v>
      </c>
      <c r="N64" s="6">
        <f t="shared" si="2"/>
        <v>5.2106655811113414E-2</v>
      </c>
      <c r="O64" s="4">
        <f t="shared" si="3"/>
        <v>4556.8000000000038</v>
      </c>
    </row>
    <row r="65" spans="1:15" x14ac:dyDescent="0.3">
      <c r="A65" s="3" t="s">
        <v>90</v>
      </c>
      <c r="B65" s="3" t="s">
        <v>12</v>
      </c>
      <c r="C65" s="5">
        <v>44608</v>
      </c>
      <c r="D65" s="5">
        <v>44624</v>
      </c>
      <c r="E65" s="3" t="s">
        <v>21</v>
      </c>
      <c r="F65" s="3" t="s">
        <v>18</v>
      </c>
      <c r="G65" s="3">
        <v>216</v>
      </c>
      <c r="H65" s="3">
        <v>13.95</v>
      </c>
      <c r="I65" s="3">
        <v>12.31</v>
      </c>
      <c r="J65" s="3">
        <v>5</v>
      </c>
      <c r="K65" s="3" t="s">
        <v>15</v>
      </c>
      <c r="L65" s="3">
        <f t="shared" si="0"/>
        <v>16</v>
      </c>
      <c r="M65" s="4">
        <f t="shared" si="1"/>
        <v>1.6399999999999988</v>
      </c>
      <c r="N65" s="6">
        <f t="shared" si="2"/>
        <v>0.11756272401433683</v>
      </c>
      <c r="O65" s="4">
        <f t="shared" si="3"/>
        <v>354.23999999999972</v>
      </c>
    </row>
    <row r="66" spans="1:15" x14ac:dyDescent="0.3">
      <c r="A66" s="3" t="s">
        <v>91</v>
      </c>
      <c r="B66" s="3" t="s">
        <v>17</v>
      </c>
      <c r="C66" s="5">
        <v>45239</v>
      </c>
      <c r="D66" s="5">
        <v>45242</v>
      </c>
      <c r="E66" s="3" t="s">
        <v>24</v>
      </c>
      <c r="F66" s="3" t="s">
        <v>18</v>
      </c>
      <c r="G66" s="3">
        <v>1347</v>
      </c>
      <c r="H66" s="3">
        <v>100.13</v>
      </c>
      <c r="I66" s="3">
        <v>94.3</v>
      </c>
      <c r="J66" s="3">
        <v>200</v>
      </c>
      <c r="K66" s="3" t="s">
        <v>15</v>
      </c>
      <c r="L66" s="3">
        <f t="shared" si="0"/>
        <v>3</v>
      </c>
      <c r="M66" s="4">
        <f t="shared" si="1"/>
        <v>5.8299999999999983</v>
      </c>
      <c r="N66" s="6">
        <f t="shared" si="2"/>
        <v>5.822430839908118E-2</v>
      </c>
      <c r="O66" s="4">
        <f t="shared" si="3"/>
        <v>7853.0099999999975</v>
      </c>
    </row>
    <row r="67" spans="1:15" x14ac:dyDescent="0.3">
      <c r="A67" s="3" t="s">
        <v>92</v>
      </c>
      <c r="B67" s="3" t="s">
        <v>20</v>
      </c>
      <c r="C67" s="5">
        <v>44795</v>
      </c>
      <c r="D67" s="5">
        <v>44798</v>
      </c>
      <c r="E67" s="3" t="s">
        <v>13</v>
      </c>
      <c r="F67" s="3" t="s">
        <v>33</v>
      </c>
      <c r="G67" s="3">
        <v>437</v>
      </c>
      <c r="H67" s="3">
        <v>59.51</v>
      </c>
      <c r="I67" s="3">
        <v>56.45</v>
      </c>
      <c r="J67" s="3">
        <v>25</v>
      </c>
      <c r="K67" s="3" t="s">
        <v>27</v>
      </c>
      <c r="L67" s="3">
        <f t="shared" ref="L67:L130" si="4">IF(OR(C67="",D67=""),"",D67-C67)</f>
        <v>3</v>
      </c>
      <c r="M67" s="4">
        <f t="shared" ref="M67:M130" si="5">H67-I67</f>
        <v>3.0599999999999952</v>
      </c>
      <c r="N67" s="6">
        <f t="shared" ref="N67:N130" si="6">IFERROR((H67-I67)/H67,0)</f>
        <v>5.14199294236262E-2</v>
      </c>
      <c r="O67" s="4">
        <f t="shared" ref="O67:O130" si="7">(H67-I67)*G67</f>
        <v>1337.219999999998</v>
      </c>
    </row>
    <row r="68" spans="1:15" x14ac:dyDescent="0.3">
      <c r="A68" s="3" t="s">
        <v>93</v>
      </c>
      <c r="B68" s="3" t="s">
        <v>12</v>
      </c>
      <c r="C68" s="5">
        <v>44858</v>
      </c>
      <c r="D68" s="5">
        <v>44860</v>
      </c>
      <c r="E68" s="3" t="s">
        <v>39</v>
      </c>
      <c r="F68" s="3" t="s">
        <v>18</v>
      </c>
      <c r="G68" s="3">
        <v>650</v>
      </c>
      <c r="H68" s="3">
        <v>103.84</v>
      </c>
      <c r="I68" s="3">
        <v>88.28</v>
      </c>
      <c r="J68" s="3">
        <v>12</v>
      </c>
      <c r="K68" s="3" t="s">
        <v>15</v>
      </c>
      <c r="L68" s="3">
        <f t="shared" si="4"/>
        <v>2</v>
      </c>
      <c r="M68" s="4">
        <f t="shared" si="5"/>
        <v>15.560000000000002</v>
      </c>
      <c r="N68" s="6">
        <f t="shared" si="6"/>
        <v>0.14984591679506937</v>
      </c>
      <c r="O68" s="4">
        <f t="shared" si="7"/>
        <v>10114.000000000002</v>
      </c>
    </row>
    <row r="69" spans="1:15" x14ac:dyDescent="0.3">
      <c r="A69" s="3" t="s">
        <v>94</v>
      </c>
      <c r="B69" s="3" t="s">
        <v>23</v>
      </c>
      <c r="C69" s="5">
        <v>44643</v>
      </c>
      <c r="D69" s="5">
        <v>44662</v>
      </c>
      <c r="E69" s="3" t="s">
        <v>13</v>
      </c>
      <c r="F69" s="3" t="s">
        <v>18</v>
      </c>
      <c r="G69" s="3">
        <v>365</v>
      </c>
      <c r="H69" s="3">
        <v>16.809999999999999</v>
      </c>
      <c r="I69" s="3">
        <v>15.41</v>
      </c>
      <c r="J69" s="3">
        <v>38</v>
      </c>
      <c r="K69" s="3" t="s">
        <v>15</v>
      </c>
      <c r="L69" s="3">
        <f t="shared" si="4"/>
        <v>19</v>
      </c>
      <c r="M69" s="4">
        <f t="shared" si="5"/>
        <v>1.3999999999999986</v>
      </c>
      <c r="N69" s="6">
        <f t="shared" si="6"/>
        <v>8.3283759666864882E-2</v>
      </c>
      <c r="O69" s="4">
        <f t="shared" si="7"/>
        <v>510.99999999999949</v>
      </c>
    </row>
    <row r="70" spans="1:15" x14ac:dyDescent="0.3">
      <c r="A70" s="3" t="s">
        <v>95</v>
      </c>
      <c r="B70" s="3" t="s">
        <v>29</v>
      </c>
      <c r="C70" s="5">
        <v>44800</v>
      </c>
      <c r="D70" s="3"/>
      <c r="E70" s="3" t="s">
        <v>26</v>
      </c>
      <c r="F70" s="3" t="s">
        <v>14</v>
      </c>
      <c r="G70" s="3">
        <v>63</v>
      </c>
      <c r="H70" s="3">
        <v>61.94</v>
      </c>
      <c r="I70" s="3">
        <v>53.8</v>
      </c>
      <c r="J70" s="3"/>
      <c r="K70" s="3" t="s">
        <v>15</v>
      </c>
      <c r="L70" s="3" t="str">
        <f t="shared" si="4"/>
        <v/>
      </c>
      <c r="M70" s="4">
        <f t="shared" si="5"/>
        <v>8.14</v>
      </c>
      <c r="N70" s="6">
        <f t="shared" si="6"/>
        <v>0.13141750080723283</v>
      </c>
      <c r="O70" s="4">
        <f t="shared" si="7"/>
        <v>512.82000000000005</v>
      </c>
    </row>
    <row r="71" spans="1:15" x14ac:dyDescent="0.3">
      <c r="A71" s="3" t="s">
        <v>96</v>
      </c>
      <c r="B71" s="3" t="s">
        <v>12</v>
      </c>
      <c r="C71" s="5">
        <v>44665</v>
      </c>
      <c r="D71" s="5">
        <v>44673</v>
      </c>
      <c r="E71" s="3" t="s">
        <v>21</v>
      </c>
      <c r="F71" s="3" t="s">
        <v>18</v>
      </c>
      <c r="G71" s="3">
        <v>291</v>
      </c>
      <c r="H71" s="3">
        <v>98.7</v>
      </c>
      <c r="I71" s="3">
        <v>87.02</v>
      </c>
      <c r="J71" s="3">
        <v>9</v>
      </c>
      <c r="K71" s="3" t="s">
        <v>15</v>
      </c>
      <c r="L71" s="3">
        <f t="shared" si="4"/>
        <v>8</v>
      </c>
      <c r="M71" s="4">
        <f t="shared" si="5"/>
        <v>11.680000000000007</v>
      </c>
      <c r="N71" s="6">
        <f t="shared" si="6"/>
        <v>0.11833839918946308</v>
      </c>
      <c r="O71" s="4">
        <f t="shared" si="7"/>
        <v>3398.8800000000019</v>
      </c>
    </row>
    <row r="72" spans="1:15" x14ac:dyDescent="0.3">
      <c r="A72" s="3" t="s">
        <v>97</v>
      </c>
      <c r="B72" s="3" t="s">
        <v>12</v>
      </c>
      <c r="C72" s="5">
        <v>44951</v>
      </c>
      <c r="D72" s="5">
        <v>44965</v>
      </c>
      <c r="E72" s="3" t="s">
        <v>21</v>
      </c>
      <c r="F72" s="3" t="s">
        <v>14</v>
      </c>
      <c r="G72" s="3">
        <v>826</v>
      </c>
      <c r="H72" s="3">
        <v>60.5</v>
      </c>
      <c r="I72" s="3">
        <v>57.18</v>
      </c>
      <c r="J72" s="3">
        <v>18</v>
      </c>
      <c r="K72" s="3" t="s">
        <v>15</v>
      </c>
      <c r="L72" s="3">
        <f t="shared" si="4"/>
        <v>14</v>
      </c>
      <c r="M72" s="4">
        <f t="shared" si="5"/>
        <v>3.3200000000000003</v>
      </c>
      <c r="N72" s="6">
        <f t="shared" si="6"/>
        <v>5.4876033057851242E-2</v>
      </c>
      <c r="O72" s="4">
        <f t="shared" si="7"/>
        <v>2742.32</v>
      </c>
    </row>
    <row r="73" spans="1:15" x14ac:dyDescent="0.3">
      <c r="A73" s="3" t="s">
        <v>98</v>
      </c>
      <c r="B73" s="3" t="s">
        <v>17</v>
      </c>
      <c r="C73" s="5">
        <v>44846</v>
      </c>
      <c r="D73" s="5">
        <v>44866</v>
      </c>
      <c r="E73" s="3" t="s">
        <v>39</v>
      </c>
      <c r="F73" s="3" t="s">
        <v>35</v>
      </c>
      <c r="G73" s="3">
        <v>1419</v>
      </c>
      <c r="H73" s="3">
        <v>69.64</v>
      </c>
      <c r="I73" s="3">
        <v>59.28</v>
      </c>
      <c r="J73" s="3">
        <v>194</v>
      </c>
      <c r="K73" s="3" t="s">
        <v>15</v>
      </c>
      <c r="L73" s="3">
        <f t="shared" si="4"/>
        <v>20</v>
      </c>
      <c r="M73" s="4">
        <f t="shared" si="5"/>
        <v>10.36</v>
      </c>
      <c r="N73" s="6">
        <f t="shared" si="6"/>
        <v>0.14876507754164273</v>
      </c>
      <c r="O73" s="4">
        <f t="shared" si="7"/>
        <v>14700.839999999998</v>
      </c>
    </row>
    <row r="74" spans="1:15" x14ac:dyDescent="0.3">
      <c r="A74" s="3" t="s">
        <v>99</v>
      </c>
      <c r="B74" s="3" t="s">
        <v>20</v>
      </c>
      <c r="C74" s="5">
        <v>45026</v>
      </c>
      <c r="D74" s="5">
        <v>45043</v>
      </c>
      <c r="E74" s="3" t="s">
        <v>13</v>
      </c>
      <c r="F74" s="3" t="s">
        <v>18</v>
      </c>
      <c r="G74" s="3">
        <v>614</v>
      </c>
      <c r="H74" s="3">
        <v>78.06</v>
      </c>
      <c r="I74" s="3">
        <v>73.95</v>
      </c>
      <c r="J74" s="3">
        <v>40</v>
      </c>
      <c r="K74" s="3" t="s">
        <v>15</v>
      </c>
      <c r="L74" s="3">
        <f t="shared" si="4"/>
        <v>17</v>
      </c>
      <c r="M74" s="4">
        <f t="shared" si="5"/>
        <v>4.1099999999999994</v>
      </c>
      <c r="N74" s="6">
        <f t="shared" si="6"/>
        <v>5.2651806302843961E-2</v>
      </c>
      <c r="O74" s="4">
        <f t="shared" si="7"/>
        <v>2523.5399999999995</v>
      </c>
    </row>
    <row r="75" spans="1:15" x14ac:dyDescent="0.3">
      <c r="A75" s="3" t="s">
        <v>100</v>
      </c>
      <c r="B75" s="3" t="s">
        <v>12</v>
      </c>
      <c r="C75" s="5">
        <v>45212</v>
      </c>
      <c r="D75" s="5">
        <v>45227</v>
      </c>
      <c r="E75" s="3" t="s">
        <v>39</v>
      </c>
      <c r="F75" s="3" t="s">
        <v>18</v>
      </c>
      <c r="G75" s="3">
        <v>947</v>
      </c>
      <c r="H75" s="3">
        <v>56.25</v>
      </c>
      <c r="I75" s="3">
        <v>54.25</v>
      </c>
      <c r="J75" s="3">
        <v>19</v>
      </c>
      <c r="K75" s="3" t="s">
        <v>15</v>
      </c>
      <c r="L75" s="3">
        <f t="shared" si="4"/>
        <v>15</v>
      </c>
      <c r="M75" s="4">
        <f t="shared" si="5"/>
        <v>2</v>
      </c>
      <c r="N75" s="6">
        <f t="shared" si="6"/>
        <v>3.5555555555555556E-2</v>
      </c>
      <c r="O75" s="4">
        <f t="shared" si="7"/>
        <v>1894</v>
      </c>
    </row>
    <row r="76" spans="1:15" x14ac:dyDescent="0.3">
      <c r="A76" s="3" t="s">
        <v>101</v>
      </c>
      <c r="B76" s="3" t="s">
        <v>29</v>
      </c>
      <c r="C76" s="5">
        <v>44935</v>
      </c>
      <c r="D76" s="5">
        <v>44954</v>
      </c>
      <c r="E76" s="3" t="s">
        <v>26</v>
      </c>
      <c r="F76" s="3" t="s">
        <v>18</v>
      </c>
      <c r="G76" s="3">
        <v>1413</v>
      </c>
      <c r="H76" s="3">
        <v>70.47</v>
      </c>
      <c r="I76" s="3">
        <v>69.650000000000006</v>
      </c>
      <c r="J76" s="3"/>
      <c r="K76" s="3" t="s">
        <v>15</v>
      </c>
      <c r="L76" s="3">
        <f t="shared" si="4"/>
        <v>19</v>
      </c>
      <c r="M76" s="4">
        <f t="shared" si="5"/>
        <v>0.81999999999999318</v>
      </c>
      <c r="N76" s="6">
        <f t="shared" si="6"/>
        <v>1.1636157230026865E-2</v>
      </c>
      <c r="O76" s="4">
        <f t="shared" si="7"/>
        <v>1158.6599999999903</v>
      </c>
    </row>
    <row r="77" spans="1:15" x14ac:dyDescent="0.3">
      <c r="A77" s="3" t="s">
        <v>102</v>
      </c>
      <c r="B77" s="3" t="s">
        <v>12</v>
      </c>
      <c r="C77" s="5">
        <v>44728</v>
      </c>
      <c r="D77" s="3"/>
      <c r="E77" s="3" t="s">
        <v>13</v>
      </c>
      <c r="F77" s="3" t="s">
        <v>33</v>
      </c>
      <c r="G77" s="3">
        <v>141</v>
      </c>
      <c r="H77" s="3">
        <v>64.150000000000006</v>
      </c>
      <c r="I77" s="3">
        <v>58.32</v>
      </c>
      <c r="J77" s="3"/>
      <c r="K77" s="3" t="s">
        <v>15</v>
      </c>
      <c r="L77" s="3" t="str">
        <f t="shared" si="4"/>
        <v/>
      </c>
      <c r="M77" s="4">
        <f t="shared" si="5"/>
        <v>5.8300000000000054</v>
      </c>
      <c r="N77" s="6">
        <f t="shared" si="6"/>
        <v>9.0880748246297813E-2</v>
      </c>
      <c r="O77" s="4">
        <f t="shared" si="7"/>
        <v>822.03000000000077</v>
      </c>
    </row>
    <row r="78" spans="1:15" x14ac:dyDescent="0.3">
      <c r="A78" s="3" t="s">
        <v>103</v>
      </c>
      <c r="B78" s="3" t="s">
        <v>12</v>
      </c>
      <c r="C78" s="5">
        <v>44941</v>
      </c>
      <c r="D78" s="5">
        <v>44961</v>
      </c>
      <c r="E78" s="3" t="s">
        <v>13</v>
      </c>
      <c r="F78" s="3" t="s">
        <v>18</v>
      </c>
      <c r="G78" s="3">
        <v>1440</v>
      </c>
      <c r="H78" s="3">
        <v>96.57</v>
      </c>
      <c r="I78" s="3">
        <v>83.87</v>
      </c>
      <c r="J78" s="3">
        <v>36</v>
      </c>
      <c r="K78" s="3" t="s">
        <v>15</v>
      </c>
      <c r="L78" s="3">
        <f t="shared" si="4"/>
        <v>20</v>
      </c>
      <c r="M78" s="4">
        <f t="shared" si="5"/>
        <v>12.699999999999989</v>
      </c>
      <c r="N78" s="6">
        <f t="shared" si="6"/>
        <v>0.13151082116599347</v>
      </c>
      <c r="O78" s="4">
        <f t="shared" si="7"/>
        <v>18287.999999999985</v>
      </c>
    </row>
    <row r="79" spans="1:15" x14ac:dyDescent="0.3">
      <c r="A79" s="3" t="s">
        <v>104</v>
      </c>
      <c r="B79" s="3" t="s">
        <v>17</v>
      </c>
      <c r="C79" s="5">
        <v>44925</v>
      </c>
      <c r="D79" s="5">
        <v>44929</v>
      </c>
      <c r="E79" s="3" t="s">
        <v>26</v>
      </c>
      <c r="F79" s="3" t="s">
        <v>18</v>
      </c>
      <c r="G79" s="3">
        <v>1005</v>
      </c>
      <c r="H79" s="3">
        <v>14.87</v>
      </c>
      <c r="I79" s="3">
        <v>12.79</v>
      </c>
      <c r="J79" s="3"/>
      <c r="K79" s="3" t="s">
        <v>27</v>
      </c>
      <c r="L79" s="3">
        <f t="shared" si="4"/>
        <v>4</v>
      </c>
      <c r="M79" s="4">
        <f t="shared" si="5"/>
        <v>2.08</v>
      </c>
      <c r="N79" s="6">
        <f t="shared" si="6"/>
        <v>0.1398789509078682</v>
      </c>
      <c r="O79" s="4">
        <f t="shared" si="7"/>
        <v>2090.4</v>
      </c>
    </row>
    <row r="80" spans="1:15" x14ac:dyDescent="0.3">
      <c r="A80" s="3" t="s">
        <v>105</v>
      </c>
      <c r="B80" s="3" t="s">
        <v>12</v>
      </c>
      <c r="C80" s="5">
        <v>44776</v>
      </c>
      <c r="D80" s="3"/>
      <c r="E80" s="3" t="s">
        <v>21</v>
      </c>
      <c r="F80" s="3" t="s">
        <v>18</v>
      </c>
      <c r="G80" s="3">
        <v>1528</v>
      </c>
      <c r="H80" s="3">
        <v>36.520000000000003</v>
      </c>
      <c r="I80" s="3">
        <v>33</v>
      </c>
      <c r="J80" s="3">
        <v>31</v>
      </c>
      <c r="K80" s="3" t="s">
        <v>27</v>
      </c>
      <c r="L80" s="3" t="str">
        <f t="shared" si="4"/>
        <v/>
      </c>
      <c r="M80" s="4">
        <f t="shared" si="5"/>
        <v>3.5200000000000031</v>
      </c>
      <c r="N80" s="6">
        <f t="shared" si="6"/>
        <v>9.6385542168674773E-2</v>
      </c>
      <c r="O80" s="4">
        <f t="shared" si="7"/>
        <v>5378.5600000000049</v>
      </c>
    </row>
    <row r="81" spans="1:15" x14ac:dyDescent="0.3">
      <c r="A81" s="3" t="s">
        <v>106</v>
      </c>
      <c r="B81" s="3" t="s">
        <v>20</v>
      </c>
      <c r="C81" s="5">
        <v>45248</v>
      </c>
      <c r="D81" s="5">
        <v>45255</v>
      </c>
      <c r="E81" s="3" t="s">
        <v>21</v>
      </c>
      <c r="F81" s="3" t="s">
        <v>18</v>
      </c>
      <c r="G81" s="3">
        <v>1501</v>
      </c>
      <c r="H81" s="3">
        <v>106.05</v>
      </c>
      <c r="I81" s="3">
        <v>100.99</v>
      </c>
      <c r="J81" s="3">
        <v>77</v>
      </c>
      <c r="K81" s="3" t="s">
        <v>27</v>
      </c>
      <c r="L81" s="3">
        <f t="shared" si="4"/>
        <v>7</v>
      </c>
      <c r="M81" s="4">
        <f t="shared" si="5"/>
        <v>5.0600000000000023</v>
      </c>
      <c r="N81" s="6">
        <f t="shared" si="6"/>
        <v>4.7713342762847735E-2</v>
      </c>
      <c r="O81" s="4">
        <f t="shared" si="7"/>
        <v>7595.0600000000031</v>
      </c>
    </row>
    <row r="82" spans="1:15" x14ac:dyDescent="0.3">
      <c r="A82" s="3" t="s">
        <v>107</v>
      </c>
      <c r="B82" s="3" t="s">
        <v>17</v>
      </c>
      <c r="C82" s="5">
        <v>44835</v>
      </c>
      <c r="D82" s="5">
        <v>44838</v>
      </c>
      <c r="E82" s="3" t="s">
        <v>24</v>
      </c>
      <c r="F82" s="3" t="s">
        <v>18</v>
      </c>
      <c r="G82" s="3">
        <v>558</v>
      </c>
      <c r="H82" s="3">
        <v>94.18</v>
      </c>
      <c r="I82" s="3">
        <v>81.400000000000006</v>
      </c>
      <c r="J82" s="3"/>
      <c r="K82" s="3" t="s">
        <v>27</v>
      </c>
      <c r="L82" s="3">
        <f t="shared" si="4"/>
        <v>3</v>
      </c>
      <c r="M82" s="4">
        <f t="shared" si="5"/>
        <v>12.780000000000001</v>
      </c>
      <c r="N82" s="6">
        <f t="shared" si="6"/>
        <v>0.1356976003397749</v>
      </c>
      <c r="O82" s="4">
        <f t="shared" si="7"/>
        <v>7131.2400000000007</v>
      </c>
    </row>
    <row r="83" spans="1:15" x14ac:dyDescent="0.3">
      <c r="A83" s="3" t="s">
        <v>108</v>
      </c>
      <c r="B83" s="3" t="s">
        <v>23</v>
      </c>
      <c r="C83" s="5">
        <v>45280</v>
      </c>
      <c r="D83" s="5">
        <v>45286</v>
      </c>
      <c r="E83" s="3" t="s">
        <v>21</v>
      </c>
      <c r="F83" s="3" t="s">
        <v>18</v>
      </c>
      <c r="G83" s="3">
        <v>825</v>
      </c>
      <c r="H83" s="3">
        <v>56.88</v>
      </c>
      <c r="I83" s="3">
        <v>50.84</v>
      </c>
      <c r="J83" s="3"/>
      <c r="K83" s="3" t="s">
        <v>15</v>
      </c>
      <c r="L83" s="3">
        <f t="shared" si="4"/>
        <v>6</v>
      </c>
      <c r="M83" s="4">
        <f t="shared" si="5"/>
        <v>6.0399999999999991</v>
      </c>
      <c r="N83" s="6">
        <f t="shared" si="6"/>
        <v>0.10618846694796059</v>
      </c>
      <c r="O83" s="4">
        <f t="shared" si="7"/>
        <v>4982.9999999999991</v>
      </c>
    </row>
    <row r="84" spans="1:15" x14ac:dyDescent="0.3">
      <c r="A84" s="3" t="s">
        <v>109</v>
      </c>
      <c r="B84" s="3" t="s">
        <v>23</v>
      </c>
      <c r="C84" s="5">
        <v>45261</v>
      </c>
      <c r="D84" s="5">
        <v>45267</v>
      </c>
      <c r="E84" s="3" t="s">
        <v>39</v>
      </c>
      <c r="F84" s="3" t="s">
        <v>14</v>
      </c>
      <c r="G84" s="3">
        <v>84</v>
      </c>
      <c r="H84" s="3">
        <v>73.38</v>
      </c>
      <c r="I84" s="3">
        <v>71.42</v>
      </c>
      <c r="J84" s="3">
        <v>9</v>
      </c>
      <c r="K84" s="3" t="s">
        <v>15</v>
      </c>
      <c r="L84" s="3">
        <f t="shared" si="4"/>
        <v>6</v>
      </c>
      <c r="M84" s="4">
        <f t="shared" si="5"/>
        <v>1.9599999999999937</v>
      </c>
      <c r="N84" s="6">
        <f t="shared" si="6"/>
        <v>2.671027527936759E-2</v>
      </c>
      <c r="O84" s="4">
        <f t="shared" si="7"/>
        <v>164.63999999999947</v>
      </c>
    </row>
    <row r="85" spans="1:15" x14ac:dyDescent="0.3">
      <c r="A85" s="3" t="s">
        <v>110</v>
      </c>
      <c r="B85" s="3" t="s">
        <v>17</v>
      </c>
      <c r="C85" s="5">
        <v>45225</v>
      </c>
      <c r="D85" s="5">
        <v>45240</v>
      </c>
      <c r="E85" s="3" t="s">
        <v>26</v>
      </c>
      <c r="F85" s="3" t="s">
        <v>18</v>
      </c>
      <c r="G85" s="3">
        <v>255</v>
      </c>
      <c r="H85" s="3">
        <v>38.64</v>
      </c>
      <c r="I85" s="3">
        <v>33.590000000000003</v>
      </c>
      <c r="J85" s="3">
        <v>27</v>
      </c>
      <c r="K85" s="3" t="s">
        <v>27</v>
      </c>
      <c r="L85" s="3">
        <f t="shared" si="4"/>
        <v>15</v>
      </c>
      <c r="M85" s="4">
        <f t="shared" si="5"/>
        <v>5.0499999999999972</v>
      </c>
      <c r="N85" s="6">
        <f t="shared" si="6"/>
        <v>0.13069358178053822</v>
      </c>
      <c r="O85" s="4">
        <f t="shared" si="7"/>
        <v>1287.7499999999993</v>
      </c>
    </row>
    <row r="86" spans="1:15" x14ac:dyDescent="0.3">
      <c r="A86" s="3" t="s">
        <v>111</v>
      </c>
      <c r="B86" s="3" t="s">
        <v>20</v>
      </c>
      <c r="C86" s="5">
        <v>44635</v>
      </c>
      <c r="D86" s="5">
        <v>44651</v>
      </c>
      <c r="E86" s="3" t="s">
        <v>21</v>
      </c>
      <c r="F86" s="3" t="s">
        <v>18</v>
      </c>
      <c r="G86" s="3">
        <v>1154</v>
      </c>
      <c r="H86" s="3">
        <v>27.2</v>
      </c>
      <c r="I86" s="3">
        <v>26.07</v>
      </c>
      <c r="J86" s="3">
        <v>58</v>
      </c>
      <c r="K86" s="3" t="s">
        <v>15</v>
      </c>
      <c r="L86" s="3">
        <f t="shared" si="4"/>
        <v>16</v>
      </c>
      <c r="M86" s="4">
        <f t="shared" si="5"/>
        <v>1.129999999999999</v>
      </c>
      <c r="N86" s="6">
        <f t="shared" si="6"/>
        <v>4.1544117647058787E-2</v>
      </c>
      <c r="O86" s="4">
        <f t="shared" si="7"/>
        <v>1304.0199999999988</v>
      </c>
    </row>
    <row r="87" spans="1:15" x14ac:dyDescent="0.3">
      <c r="A87" s="3" t="s">
        <v>112</v>
      </c>
      <c r="B87" s="3" t="s">
        <v>17</v>
      </c>
      <c r="C87" s="5">
        <v>45185</v>
      </c>
      <c r="D87" s="5">
        <v>45193</v>
      </c>
      <c r="E87" s="3" t="s">
        <v>13</v>
      </c>
      <c r="F87" s="3" t="s">
        <v>18</v>
      </c>
      <c r="G87" s="3">
        <v>1635</v>
      </c>
      <c r="H87" s="3">
        <v>56.91</v>
      </c>
      <c r="I87" s="3">
        <v>54.37</v>
      </c>
      <c r="J87" s="3">
        <v>262</v>
      </c>
      <c r="K87" s="3" t="s">
        <v>27</v>
      </c>
      <c r="L87" s="3">
        <f t="shared" si="4"/>
        <v>8</v>
      </c>
      <c r="M87" s="4">
        <f t="shared" si="5"/>
        <v>2.5399999999999991</v>
      </c>
      <c r="N87" s="6">
        <f t="shared" si="6"/>
        <v>4.4631874890177461E-2</v>
      </c>
      <c r="O87" s="4">
        <f t="shared" si="7"/>
        <v>4152.8999999999987</v>
      </c>
    </row>
    <row r="88" spans="1:15" x14ac:dyDescent="0.3">
      <c r="A88" s="3" t="s">
        <v>113</v>
      </c>
      <c r="B88" s="3" t="s">
        <v>17</v>
      </c>
      <c r="C88" s="5">
        <v>45212</v>
      </c>
      <c r="D88" s="5">
        <v>45222</v>
      </c>
      <c r="E88" s="3" t="s">
        <v>26</v>
      </c>
      <c r="F88" s="3" t="s">
        <v>18</v>
      </c>
      <c r="G88" s="3">
        <v>1945</v>
      </c>
      <c r="H88" s="3">
        <v>46.19</v>
      </c>
      <c r="I88" s="3">
        <v>40.119999999999997</v>
      </c>
      <c r="J88" s="3">
        <v>278</v>
      </c>
      <c r="K88" s="3" t="s">
        <v>27</v>
      </c>
      <c r="L88" s="3">
        <f t="shared" si="4"/>
        <v>10</v>
      </c>
      <c r="M88" s="4">
        <f t="shared" si="5"/>
        <v>6.07</v>
      </c>
      <c r="N88" s="6">
        <f t="shared" si="6"/>
        <v>0.13141372591470016</v>
      </c>
      <c r="O88" s="4">
        <f t="shared" si="7"/>
        <v>11806.150000000001</v>
      </c>
    </row>
    <row r="89" spans="1:15" x14ac:dyDescent="0.3">
      <c r="A89" s="3" t="s">
        <v>114</v>
      </c>
      <c r="B89" s="3" t="s">
        <v>17</v>
      </c>
      <c r="C89" s="5">
        <v>44737</v>
      </c>
      <c r="D89" s="5">
        <v>44752</v>
      </c>
      <c r="E89" s="3" t="s">
        <v>21</v>
      </c>
      <c r="F89" s="3" t="s">
        <v>33</v>
      </c>
      <c r="G89" s="3">
        <v>1461</v>
      </c>
      <c r="H89" s="3">
        <v>64.09</v>
      </c>
      <c r="I89" s="3">
        <v>63.39</v>
      </c>
      <c r="J89" s="3">
        <v>228</v>
      </c>
      <c r="K89" s="3" t="s">
        <v>27</v>
      </c>
      <c r="L89" s="3">
        <f t="shared" si="4"/>
        <v>15</v>
      </c>
      <c r="M89" s="4">
        <f t="shared" si="5"/>
        <v>0.70000000000000284</v>
      </c>
      <c r="N89" s="6">
        <f t="shared" si="6"/>
        <v>1.0922140739585003E-2</v>
      </c>
      <c r="O89" s="4">
        <f t="shared" si="7"/>
        <v>1022.7000000000041</v>
      </c>
    </row>
    <row r="90" spans="1:15" x14ac:dyDescent="0.3">
      <c r="A90" s="3" t="s">
        <v>115</v>
      </c>
      <c r="B90" s="3" t="s">
        <v>17</v>
      </c>
      <c r="C90" s="5">
        <v>45108</v>
      </c>
      <c r="D90" s="5">
        <v>45116</v>
      </c>
      <c r="E90" s="3" t="s">
        <v>39</v>
      </c>
      <c r="F90" s="3" t="s">
        <v>18</v>
      </c>
      <c r="G90" s="3">
        <v>1075</v>
      </c>
      <c r="H90" s="3">
        <v>18.53</v>
      </c>
      <c r="I90" s="3">
        <v>16.12</v>
      </c>
      <c r="J90" s="3">
        <v>147</v>
      </c>
      <c r="K90" s="3" t="s">
        <v>15</v>
      </c>
      <c r="L90" s="3">
        <f t="shared" si="4"/>
        <v>8</v>
      </c>
      <c r="M90" s="4">
        <f t="shared" si="5"/>
        <v>2.41</v>
      </c>
      <c r="N90" s="6">
        <f t="shared" si="6"/>
        <v>0.1300593631948192</v>
      </c>
      <c r="O90" s="4">
        <f t="shared" si="7"/>
        <v>2590.75</v>
      </c>
    </row>
    <row r="91" spans="1:15" x14ac:dyDescent="0.3">
      <c r="A91" s="3" t="s">
        <v>116</v>
      </c>
      <c r="B91" s="3" t="s">
        <v>12</v>
      </c>
      <c r="C91" s="5">
        <v>44812</v>
      </c>
      <c r="D91" s="3"/>
      <c r="E91" s="3" t="s">
        <v>24</v>
      </c>
      <c r="F91" s="3" t="s">
        <v>18</v>
      </c>
      <c r="G91" s="3">
        <v>1071</v>
      </c>
      <c r="H91" s="3">
        <v>101.6</v>
      </c>
      <c r="I91" s="3">
        <v>93.91</v>
      </c>
      <c r="J91" s="3">
        <v>25</v>
      </c>
      <c r="K91" s="3" t="s">
        <v>15</v>
      </c>
      <c r="L91" s="3" t="str">
        <f t="shared" si="4"/>
        <v/>
      </c>
      <c r="M91" s="4">
        <f t="shared" si="5"/>
        <v>7.6899999999999977</v>
      </c>
      <c r="N91" s="6">
        <f t="shared" si="6"/>
        <v>7.5688976377952744E-2</v>
      </c>
      <c r="O91" s="4">
        <f t="shared" si="7"/>
        <v>8235.989999999998</v>
      </c>
    </row>
    <row r="92" spans="1:15" x14ac:dyDescent="0.3">
      <c r="A92" s="3" t="s">
        <v>117</v>
      </c>
      <c r="B92" s="3" t="s">
        <v>29</v>
      </c>
      <c r="C92" s="5">
        <v>44729</v>
      </c>
      <c r="D92" s="5">
        <v>44748</v>
      </c>
      <c r="E92" s="3" t="s">
        <v>24</v>
      </c>
      <c r="F92" s="3" t="s">
        <v>35</v>
      </c>
      <c r="G92" s="3">
        <v>1463</v>
      </c>
      <c r="H92" s="3">
        <v>101.23</v>
      </c>
      <c r="I92" s="3">
        <v>86.17</v>
      </c>
      <c r="J92" s="3">
        <v>43</v>
      </c>
      <c r="K92" s="3" t="s">
        <v>15</v>
      </c>
      <c r="L92" s="3">
        <f t="shared" si="4"/>
        <v>19</v>
      </c>
      <c r="M92" s="4">
        <f t="shared" si="5"/>
        <v>15.060000000000002</v>
      </c>
      <c r="N92" s="6">
        <f t="shared" si="6"/>
        <v>0.14877012743257928</v>
      </c>
      <c r="O92" s="4">
        <f t="shared" si="7"/>
        <v>22032.780000000002</v>
      </c>
    </row>
    <row r="93" spans="1:15" x14ac:dyDescent="0.3">
      <c r="A93" s="3" t="s">
        <v>118</v>
      </c>
      <c r="B93" s="3" t="s">
        <v>23</v>
      </c>
      <c r="C93" s="5">
        <v>45035</v>
      </c>
      <c r="D93" s="5">
        <v>45042</v>
      </c>
      <c r="E93" s="3" t="s">
        <v>26</v>
      </c>
      <c r="F93" s="3" t="s">
        <v>18</v>
      </c>
      <c r="G93" s="3">
        <v>615</v>
      </c>
      <c r="H93" s="3">
        <v>78.3</v>
      </c>
      <c r="I93" s="3">
        <v>73.680000000000007</v>
      </c>
      <c r="J93" s="3">
        <v>69</v>
      </c>
      <c r="K93" s="3" t="s">
        <v>15</v>
      </c>
      <c r="L93" s="3">
        <f t="shared" si="4"/>
        <v>7</v>
      </c>
      <c r="M93" s="4">
        <f t="shared" si="5"/>
        <v>4.6199999999999903</v>
      </c>
      <c r="N93" s="6">
        <f t="shared" si="6"/>
        <v>5.90038314176244E-2</v>
      </c>
      <c r="O93" s="4">
        <f t="shared" si="7"/>
        <v>2841.2999999999943</v>
      </c>
    </row>
    <row r="94" spans="1:15" x14ac:dyDescent="0.3">
      <c r="A94" s="3" t="s">
        <v>119</v>
      </c>
      <c r="B94" s="3" t="s">
        <v>20</v>
      </c>
      <c r="C94" s="5">
        <v>44950</v>
      </c>
      <c r="D94" s="5">
        <v>44968</v>
      </c>
      <c r="E94" s="3" t="s">
        <v>39</v>
      </c>
      <c r="F94" s="3" t="s">
        <v>18</v>
      </c>
      <c r="G94" s="3">
        <v>1179</v>
      </c>
      <c r="H94" s="3">
        <v>61.74</v>
      </c>
      <c r="I94" s="3">
        <v>56.28</v>
      </c>
      <c r="J94" s="3"/>
      <c r="K94" s="3" t="s">
        <v>15</v>
      </c>
      <c r="L94" s="3">
        <f t="shared" si="4"/>
        <v>18</v>
      </c>
      <c r="M94" s="4">
        <f t="shared" si="5"/>
        <v>5.4600000000000009</v>
      </c>
      <c r="N94" s="6">
        <f t="shared" si="6"/>
        <v>8.8435374149659879E-2</v>
      </c>
      <c r="O94" s="4">
        <f t="shared" si="7"/>
        <v>6437.3400000000011</v>
      </c>
    </row>
    <row r="95" spans="1:15" x14ac:dyDescent="0.3">
      <c r="A95" s="3" t="s">
        <v>120</v>
      </c>
      <c r="B95" s="3" t="s">
        <v>12</v>
      </c>
      <c r="C95" s="5">
        <v>44838</v>
      </c>
      <c r="D95" s="5">
        <v>44843</v>
      </c>
      <c r="E95" s="3" t="s">
        <v>39</v>
      </c>
      <c r="F95" s="3" t="s">
        <v>33</v>
      </c>
      <c r="G95" s="3">
        <v>1845</v>
      </c>
      <c r="H95" s="3">
        <v>39.56</v>
      </c>
      <c r="I95" s="3">
        <v>37.630000000000003</v>
      </c>
      <c r="J95" s="3">
        <v>45</v>
      </c>
      <c r="K95" s="3" t="s">
        <v>15</v>
      </c>
      <c r="L95" s="3">
        <f t="shared" si="4"/>
        <v>5</v>
      </c>
      <c r="M95" s="4">
        <f t="shared" si="5"/>
        <v>1.9299999999999997</v>
      </c>
      <c r="N95" s="6">
        <f t="shared" si="6"/>
        <v>4.8786653185035382E-2</v>
      </c>
      <c r="O95" s="4">
        <f t="shared" si="7"/>
        <v>3560.8499999999995</v>
      </c>
    </row>
    <row r="96" spans="1:15" x14ac:dyDescent="0.3">
      <c r="A96" s="3" t="s">
        <v>121</v>
      </c>
      <c r="B96" s="3" t="s">
        <v>23</v>
      </c>
      <c r="C96" s="5">
        <v>45217</v>
      </c>
      <c r="D96" s="3"/>
      <c r="E96" s="3" t="s">
        <v>39</v>
      </c>
      <c r="F96" s="3" t="s">
        <v>14</v>
      </c>
      <c r="G96" s="3">
        <v>1895</v>
      </c>
      <c r="H96" s="3">
        <v>91.98</v>
      </c>
      <c r="I96" s="3">
        <v>86.27</v>
      </c>
      <c r="J96" s="3">
        <v>170</v>
      </c>
      <c r="K96" s="3" t="s">
        <v>15</v>
      </c>
      <c r="L96" s="3" t="str">
        <f t="shared" si="4"/>
        <v/>
      </c>
      <c r="M96" s="4">
        <f t="shared" si="5"/>
        <v>5.710000000000008</v>
      </c>
      <c r="N96" s="6">
        <f t="shared" si="6"/>
        <v>6.2078712763644357E-2</v>
      </c>
      <c r="O96" s="4">
        <f t="shared" si="7"/>
        <v>10820.450000000015</v>
      </c>
    </row>
    <row r="97" spans="1:15" x14ac:dyDescent="0.3">
      <c r="A97" s="3" t="s">
        <v>122</v>
      </c>
      <c r="B97" s="3" t="s">
        <v>29</v>
      </c>
      <c r="C97" s="5">
        <v>45266</v>
      </c>
      <c r="D97" s="5">
        <v>45269</v>
      </c>
      <c r="E97" s="3" t="s">
        <v>21</v>
      </c>
      <c r="F97" s="3" t="s">
        <v>33</v>
      </c>
      <c r="G97" s="3">
        <v>1550</v>
      </c>
      <c r="H97" s="3">
        <v>79.86</v>
      </c>
      <c r="I97" s="3">
        <v>69.569999999999993</v>
      </c>
      <c r="J97" s="3">
        <v>32</v>
      </c>
      <c r="K97" s="3" t="s">
        <v>27</v>
      </c>
      <c r="L97" s="3">
        <f t="shared" si="4"/>
        <v>3</v>
      </c>
      <c r="M97" s="4">
        <f t="shared" si="5"/>
        <v>10.290000000000006</v>
      </c>
      <c r="N97" s="6">
        <f t="shared" si="6"/>
        <v>0.12885048835462065</v>
      </c>
      <c r="O97" s="4">
        <f t="shared" si="7"/>
        <v>15949.500000000009</v>
      </c>
    </row>
    <row r="98" spans="1:15" x14ac:dyDescent="0.3">
      <c r="A98" s="3" t="s">
        <v>123</v>
      </c>
      <c r="B98" s="3" t="s">
        <v>17</v>
      </c>
      <c r="C98" s="5">
        <v>45132</v>
      </c>
      <c r="D98" s="5">
        <v>45142</v>
      </c>
      <c r="E98" s="3" t="s">
        <v>24</v>
      </c>
      <c r="F98" s="3" t="s">
        <v>18</v>
      </c>
      <c r="G98" s="3">
        <v>752</v>
      </c>
      <c r="H98" s="3">
        <v>26.85</v>
      </c>
      <c r="I98" s="3">
        <v>24.37</v>
      </c>
      <c r="J98" s="3"/>
      <c r="K98" s="3" t="s">
        <v>27</v>
      </c>
      <c r="L98" s="3">
        <f t="shared" si="4"/>
        <v>10</v>
      </c>
      <c r="M98" s="4">
        <f t="shared" si="5"/>
        <v>2.4800000000000004</v>
      </c>
      <c r="N98" s="6">
        <f t="shared" si="6"/>
        <v>9.2364990689013049E-2</v>
      </c>
      <c r="O98" s="4">
        <f t="shared" si="7"/>
        <v>1864.9600000000003</v>
      </c>
    </row>
    <row r="99" spans="1:15" x14ac:dyDescent="0.3">
      <c r="A99" s="3" t="s">
        <v>124</v>
      </c>
      <c r="B99" s="3" t="s">
        <v>29</v>
      </c>
      <c r="C99" s="5">
        <v>44786</v>
      </c>
      <c r="D99" s="5">
        <v>44805</v>
      </c>
      <c r="E99" s="3" t="s">
        <v>39</v>
      </c>
      <c r="F99" s="3" t="s">
        <v>18</v>
      </c>
      <c r="G99" s="3">
        <v>451</v>
      </c>
      <c r="H99" s="3">
        <v>95.2</v>
      </c>
      <c r="I99" s="3">
        <v>90.07</v>
      </c>
      <c r="J99" s="3">
        <v>21</v>
      </c>
      <c r="K99" s="3" t="s">
        <v>15</v>
      </c>
      <c r="L99" s="3">
        <f t="shared" si="4"/>
        <v>19</v>
      </c>
      <c r="M99" s="4">
        <f t="shared" si="5"/>
        <v>5.1300000000000097</v>
      </c>
      <c r="N99" s="6">
        <f t="shared" si="6"/>
        <v>5.3886554621848839E-2</v>
      </c>
      <c r="O99" s="4">
        <f t="shared" si="7"/>
        <v>2313.6300000000042</v>
      </c>
    </row>
    <row r="100" spans="1:15" x14ac:dyDescent="0.3">
      <c r="A100" s="3" t="s">
        <v>125</v>
      </c>
      <c r="B100" s="3" t="s">
        <v>23</v>
      </c>
      <c r="C100" s="5">
        <v>45263</v>
      </c>
      <c r="D100" s="3"/>
      <c r="E100" s="3" t="s">
        <v>13</v>
      </c>
      <c r="F100" s="3" t="s">
        <v>18</v>
      </c>
      <c r="G100" s="3">
        <v>779</v>
      </c>
      <c r="H100" s="3">
        <v>93.69</v>
      </c>
      <c r="I100" s="3">
        <v>90.92</v>
      </c>
      <c r="J100" s="3">
        <v>66</v>
      </c>
      <c r="K100" s="3" t="s">
        <v>15</v>
      </c>
      <c r="L100" s="3" t="str">
        <f t="shared" si="4"/>
        <v/>
      </c>
      <c r="M100" s="4">
        <f t="shared" si="5"/>
        <v>2.769999999999996</v>
      </c>
      <c r="N100" s="6">
        <f t="shared" si="6"/>
        <v>2.9565588643398401E-2</v>
      </c>
      <c r="O100" s="4">
        <f t="shared" si="7"/>
        <v>2157.8299999999967</v>
      </c>
    </row>
    <row r="101" spans="1:15" x14ac:dyDescent="0.3">
      <c r="A101" s="3" t="s">
        <v>126</v>
      </c>
      <c r="B101" s="3" t="s">
        <v>23</v>
      </c>
      <c r="C101" s="5">
        <v>44894</v>
      </c>
      <c r="D101" s="5">
        <v>44909</v>
      </c>
      <c r="E101" s="3" t="s">
        <v>21</v>
      </c>
      <c r="F101" s="3" t="s">
        <v>35</v>
      </c>
      <c r="G101" s="3">
        <v>1629</v>
      </c>
      <c r="H101" s="3">
        <v>100.26</v>
      </c>
      <c r="I101" s="3">
        <v>86.44</v>
      </c>
      <c r="J101" s="3">
        <v>187</v>
      </c>
      <c r="K101" s="3" t="s">
        <v>27</v>
      </c>
      <c r="L101" s="3">
        <f t="shared" si="4"/>
        <v>15</v>
      </c>
      <c r="M101" s="4">
        <f t="shared" si="5"/>
        <v>13.820000000000007</v>
      </c>
      <c r="N101" s="6">
        <f t="shared" si="6"/>
        <v>0.13784161180929591</v>
      </c>
      <c r="O101" s="4">
        <f t="shared" si="7"/>
        <v>22512.780000000013</v>
      </c>
    </row>
    <row r="102" spans="1:15" x14ac:dyDescent="0.3">
      <c r="A102" s="3" t="s">
        <v>127</v>
      </c>
      <c r="B102" s="3" t="s">
        <v>12</v>
      </c>
      <c r="C102" s="5">
        <v>44619</v>
      </c>
      <c r="D102" s="5">
        <v>44614</v>
      </c>
      <c r="E102" s="3" t="s">
        <v>13</v>
      </c>
      <c r="F102" s="3" t="s">
        <v>18</v>
      </c>
      <c r="G102" s="3">
        <v>211</v>
      </c>
      <c r="H102" s="3">
        <v>75.69</v>
      </c>
      <c r="I102" s="3">
        <v>65.400000000000006</v>
      </c>
      <c r="J102" s="3">
        <v>2</v>
      </c>
      <c r="K102" s="3" t="s">
        <v>15</v>
      </c>
      <c r="L102" s="3">
        <f t="shared" si="4"/>
        <v>-5</v>
      </c>
      <c r="M102" s="4">
        <f t="shared" si="5"/>
        <v>10.289999999999992</v>
      </c>
      <c r="N102" s="6">
        <f t="shared" si="6"/>
        <v>0.13594926674593727</v>
      </c>
      <c r="O102" s="4">
        <f t="shared" si="7"/>
        <v>2171.1899999999982</v>
      </c>
    </row>
    <row r="103" spans="1:15" x14ac:dyDescent="0.3">
      <c r="A103" s="3" t="s">
        <v>128</v>
      </c>
      <c r="B103" s="3" t="s">
        <v>12</v>
      </c>
      <c r="C103" s="5">
        <v>44796</v>
      </c>
      <c r="D103" s="3"/>
      <c r="E103" s="3" t="s">
        <v>13</v>
      </c>
      <c r="F103" s="3" t="s">
        <v>18</v>
      </c>
      <c r="G103" s="3">
        <v>251</v>
      </c>
      <c r="H103" s="3">
        <v>67.489999999999995</v>
      </c>
      <c r="I103" s="3">
        <v>64.48</v>
      </c>
      <c r="J103" s="3">
        <v>2</v>
      </c>
      <c r="K103" s="3" t="s">
        <v>15</v>
      </c>
      <c r="L103" s="3" t="str">
        <f t="shared" si="4"/>
        <v/>
      </c>
      <c r="M103" s="4">
        <f t="shared" si="5"/>
        <v>3.0099999999999909</v>
      </c>
      <c r="N103" s="6">
        <f t="shared" si="6"/>
        <v>4.459919988146379E-2</v>
      </c>
      <c r="O103" s="4">
        <f t="shared" si="7"/>
        <v>755.50999999999772</v>
      </c>
    </row>
    <row r="104" spans="1:15" x14ac:dyDescent="0.3">
      <c r="A104" s="3" t="s">
        <v>129</v>
      </c>
      <c r="B104" s="3" t="s">
        <v>20</v>
      </c>
      <c r="C104" s="5">
        <v>44594</v>
      </c>
      <c r="D104" s="5">
        <v>44610</v>
      </c>
      <c r="E104" s="3" t="s">
        <v>26</v>
      </c>
      <c r="F104" s="3" t="s">
        <v>18</v>
      </c>
      <c r="G104" s="3">
        <v>1045</v>
      </c>
      <c r="H104" s="3">
        <v>47.88</v>
      </c>
      <c r="I104" s="3">
        <v>44.65</v>
      </c>
      <c r="J104" s="3">
        <v>69</v>
      </c>
      <c r="K104" s="3" t="s">
        <v>15</v>
      </c>
      <c r="L104" s="3">
        <f t="shared" si="4"/>
        <v>16</v>
      </c>
      <c r="M104" s="4">
        <f t="shared" si="5"/>
        <v>3.230000000000004</v>
      </c>
      <c r="N104" s="6">
        <f t="shared" si="6"/>
        <v>6.746031746031754E-2</v>
      </c>
      <c r="O104" s="4">
        <f t="shared" si="7"/>
        <v>3375.350000000004</v>
      </c>
    </row>
    <row r="105" spans="1:15" x14ac:dyDescent="0.3">
      <c r="A105" s="3" t="s">
        <v>130</v>
      </c>
      <c r="B105" s="3" t="s">
        <v>17</v>
      </c>
      <c r="C105" s="5">
        <v>44885</v>
      </c>
      <c r="D105" s="5">
        <v>44905</v>
      </c>
      <c r="E105" s="3" t="s">
        <v>21</v>
      </c>
      <c r="F105" s="3" t="s">
        <v>18</v>
      </c>
      <c r="G105" s="3">
        <v>319</v>
      </c>
      <c r="H105" s="3">
        <v>98.64</v>
      </c>
      <c r="I105" s="3">
        <v>89.15</v>
      </c>
      <c r="J105" s="3">
        <v>57</v>
      </c>
      <c r="K105" s="3" t="s">
        <v>15</v>
      </c>
      <c r="L105" s="3">
        <f t="shared" si="4"/>
        <v>20</v>
      </c>
      <c r="M105" s="4">
        <f t="shared" si="5"/>
        <v>9.4899999999999949</v>
      </c>
      <c r="N105" s="6">
        <f t="shared" si="6"/>
        <v>9.620843471208429E-2</v>
      </c>
      <c r="O105" s="4">
        <f t="shared" si="7"/>
        <v>3027.3099999999986</v>
      </c>
    </row>
    <row r="106" spans="1:15" x14ac:dyDescent="0.3">
      <c r="A106" s="3" t="s">
        <v>131</v>
      </c>
      <c r="B106" s="3" t="s">
        <v>29</v>
      </c>
      <c r="C106" s="5">
        <v>44972</v>
      </c>
      <c r="D106" s="5">
        <v>44986</v>
      </c>
      <c r="E106" s="3" t="s">
        <v>13</v>
      </c>
      <c r="F106" s="3" t="s">
        <v>33</v>
      </c>
      <c r="G106" s="3">
        <v>1936</v>
      </c>
      <c r="H106" s="3">
        <v>93.66</v>
      </c>
      <c r="I106" s="3">
        <v>92.24</v>
      </c>
      <c r="J106" s="3">
        <v>58</v>
      </c>
      <c r="K106" s="3" t="s">
        <v>15</v>
      </c>
      <c r="L106" s="3">
        <f t="shared" si="4"/>
        <v>14</v>
      </c>
      <c r="M106" s="4">
        <f t="shared" si="5"/>
        <v>1.4200000000000017</v>
      </c>
      <c r="N106" s="6">
        <f t="shared" si="6"/>
        <v>1.5161221439248364E-2</v>
      </c>
      <c r="O106" s="4">
        <f t="shared" si="7"/>
        <v>2749.1200000000035</v>
      </c>
    </row>
    <row r="107" spans="1:15" x14ac:dyDescent="0.3">
      <c r="A107" s="3" t="s">
        <v>132</v>
      </c>
      <c r="B107" s="3" t="s">
        <v>17</v>
      </c>
      <c r="C107" s="5">
        <v>44836</v>
      </c>
      <c r="D107" s="5">
        <v>44856</v>
      </c>
      <c r="E107" s="3" t="s">
        <v>21</v>
      </c>
      <c r="F107" s="3" t="s">
        <v>14</v>
      </c>
      <c r="G107" s="3">
        <v>865</v>
      </c>
      <c r="H107" s="3">
        <v>14.7</v>
      </c>
      <c r="I107" s="3">
        <v>13.14</v>
      </c>
      <c r="J107" s="3">
        <v>135</v>
      </c>
      <c r="K107" s="3" t="s">
        <v>27</v>
      </c>
      <c r="L107" s="3">
        <f t="shared" si="4"/>
        <v>20</v>
      </c>
      <c r="M107" s="4">
        <f t="shared" si="5"/>
        <v>1.5599999999999987</v>
      </c>
      <c r="N107" s="6">
        <f t="shared" si="6"/>
        <v>0.10612244897959175</v>
      </c>
      <c r="O107" s="4">
        <f t="shared" si="7"/>
        <v>1349.399999999999</v>
      </c>
    </row>
    <row r="108" spans="1:15" x14ac:dyDescent="0.3">
      <c r="A108" s="3" t="s">
        <v>133</v>
      </c>
      <c r="B108" s="3" t="s">
        <v>29</v>
      </c>
      <c r="C108" s="5">
        <v>44629</v>
      </c>
      <c r="D108" s="5">
        <v>44632</v>
      </c>
      <c r="E108" s="3" t="s">
        <v>39</v>
      </c>
      <c r="F108" s="3" t="s">
        <v>18</v>
      </c>
      <c r="G108" s="3">
        <v>1344</v>
      </c>
      <c r="H108" s="3">
        <v>12.5</v>
      </c>
      <c r="I108" s="3">
        <v>10.87</v>
      </c>
      <c r="J108" s="3">
        <v>44</v>
      </c>
      <c r="K108" s="3" t="s">
        <v>15</v>
      </c>
      <c r="L108" s="3">
        <f t="shared" si="4"/>
        <v>3</v>
      </c>
      <c r="M108" s="4">
        <f t="shared" si="5"/>
        <v>1.6300000000000008</v>
      </c>
      <c r="N108" s="6">
        <f t="shared" si="6"/>
        <v>0.13040000000000007</v>
      </c>
      <c r="O108" s="4">
        <f t="shared" si="7"/>
        <v>2190.7200000000012</v>
      </c>
    </row>
    <row r="109" spans="1:15" x14ac:dyDescent="0.3">
      <c r="A109" s="3" t="s">
        <v>134</v>
      </c>
      <c r="B109" s="3" t="s">
        <v>17</v>
      </c>
      <c r="C109" s="5">
        <v>44778</v>
      </c>
      <c r="D109" s="5">
        <v>44797</v>
      </c>
      <c r="E109" s="3" t="s">
        <v>26</v>
      </c>
      <c r="F109" s="3" t="s">
        <v>35</v>
      </c>
      <c r="G109" s="3">
        <v>505</v>
      </c>
      <c r="H109" s="3">
        <v>45.42</v>
      </c>
      <c r="I109" s="3">
        <v>40.369999999999997</v>
      </c>
      <c r="J109" s="3">
        <v>62</v>
      </c>
      <c r="K109" s="3" t="s">
        <v>15</v>
      </c>
      <c r="L109" s="3">
        <f t="shared" si="4"/>
        <v>19</v>
      </c>
      <c r="M109" s="4">
        <f t="shared" si="5"/>
        <v>5.0500000000000043</v>
      </c>
      <c r="N109" s="6">
        <f t="shared" si="6"/>
        <v>0.11118450022016742</v>
      </c>
      <c r="O109" s="4">
        <f t="shared" si="7"/>
        <v>2550.2500000000023</v>
      </c>
    </row>
    <row r="110" spans="1:15" x14ac:dyDescent="0.3">
      <c r="A110" s="3" t="s">
        <v>135</v>
      </c>
      <c r="B110" s="3" t="s">
        <v>23</v>
      </c>
      <c r="C110" s="5">
        <v>45142</v>
      </c>
      <c r="D110" s="5">
        <v>45143</v>
      </c>
      <c r="E110" s="3" t="s">
        <v>24</v>
      </c>
      <c r="F110" s="3" t="s">
        <v>18</v>
      </c>
      <c r="G110" s="3">
        <v>1535</v>
      </c>
      <c r="H110" s="3">
        <v>90.83</v>
      </c>
      <c r="I110" s="3">
        <v>78.28</v>
      </c>
      <c r="J110" s="3">
        <v>151</v>
      </c>
      <c r="K110" s="3" t="s">
        <v>27</v>
      </c>
      <c r="L110" s="3">
        <f t="shared" si="4"/>
        <v>1</v>
      </c>
      <c r="M110" s="4">
        <f t="shared" si="5"/>
        <v>12.549999999999997</v>
      </c>
      <c r="N110" s="6">
        <f t="shared" si="6"/>
        <v>0.13817020808103048</v>
      </c>
      <c r="O110" s="4">
        <f t="shared" si="7"/>
        <v>19264.249999999996</v>
      </c>
    </row>
    <row r="111" spans="1:15" x14ac:dyDescent="0.3">
      <c r="A111" s="3" t="s">
        <v>136</v>
      </c>
      <c r="B111" s="3" t="s">
        <v>23</v>
      </c>
      <c r="C111" s="5">
        <v>44884</v>
      </c>
      <c r="D111" s="3"/>
      <c r="E111" s="3" t="s">
        <v>13</v>
      </c>
      <c r="F111" s="3" t="s">
        <v>18</v>
      </c>
      <c r="G111" s="3">
        <v>1800</v>
      </c>
      <c r="H111" s="3">
        <v>103.8</v>
      </c>
      <c r="I111" s="3">
        <v>96.27</v>
      </c>
      <c r="J111" s="3">
        <v>166</v>
      </c>
      <c r="K111" s="3" t="s">
        <v>15</v>
      </c>
      <c r="L111" s="3" t="str">
        <f t="shared" si="4"/>
        <v/>
      </c>
      <c r="M111" s="4">
        <f t="shared" si="5"/>
        <v>7.5300000000000011</v>
      </c>
      <c r="N111" s="6">
        <f t="shared" si="6"/>
        <v>7.2543352601156089E-2</v>
      </c>
      <c r="O111" s="4">
        <f t="shared" si="7"/>
        <v>13554.000000000002</v>
      </c>
    </row>
    <row r="112" spans="1:15" x14ac:dyDescent="0.3">
      <c r="A112" s="3" t="s">
        <v>137</v>
      </c>
      <c r="B112" s="3" t="s">
        <v>17</v>
      </c>
      <c r="C112" s="5">
        <v>44779</v>
      </c>
      <c r="D112" s="5">
        <v>44788</v>
      </c>
      <c r="E112" s="3" t="s">
        <v>26</v>
      </c>
      <c r="F112" s="3" t="s">
        <v>35</v>
      </c>
      <c r="G112" s="3">
        <v>1325</v>
      </c>
      <c r="H112" s="3">
        <v>24.36</v>
      </c>
      <c r="I112" s="3">
        <v>22.75</v>
      </c>
      <c r="J112" s="3">
        <v>206</v>
      </c>
      <c r="K112" s="3" t="s">
        <v>15</v>
      </c>
      <c r="L112" s="3">
        <f t="shared" si="4"/>
        <v>9</v>
      </c>
      <c r="M112" s="4">
        <f t="shared" si="5"/>
        <v>1.6099999999999994</v>
      </c>
      <c r="N112" s="6">
        <f t="shared" si="6"/>
        <v>6.6091954022988481E-2</v>
      </c>
      <c r="O112" s="4">
        <f t="shared" si="7"/>
        <v>2133.2499999999991</v>
      </c>
    </row>
    <row r="113" spans="1:15" x14ac:dyDescent="0.3">
      <c r="A113" s="3" t="s">
        <v>138</v>
      </c>
      <c r="B113" s="3" t="s">
        <v>20</v>
      </c>
      <c r="C113" s="5">
        <v>45233</v>
      </c>
      <c r="D113" s="5">
        <v>45239</v>
      </c>
      <c r="E113" s="3" t="s">
        <v>26</v>
      </c>
      <c r="F113" s="3" t="s">
        <v>18</v>
      </c>
      <c r="G113" s="3">
        <v>1066</v>
      </c>
      <c r="H113" s="3">
        <v>70.45</v>
      </c>
      <c r="I113" s="3">
        <v>65.88</v>
      </c>
      <c r="J113" s="3">
        <v>56</v>
      </c>
      <c r="K113" s="3" t="s">
        <v>27</v>
      </c>
      <c r="L113" s="3">
        <f t="shared" si="4"/>
        <v>6</v>
      </c>
      <c r="M113" s="4">
        <f t="shared" si="5"/>
        <v>4.5700000000000074</v>
      </c>
      <c r="N113" s="6">
        <f t="shared" si="6"/>
        <v>6.4868701206529558E-2</v>
      </c>
      <c r="O113" s="4">
        <f t="shared" si="7"/>
        <v>4871.6200000000081</v>
      </c>
    </row>
    <row r="114" spans="1:15" x14ac:dyDescent="0.3">
      <c r="A114" s="3" t="s">
        <v>139</v>
      </c>
      <c r="B114" s="3" t="s">
        <v>23</v>
      </c>
      <c r="C114" s="5">
        <v>45073</v>
      </c>
      <c r="D114" s="5">
        <v>45088</v>
      </c>
      <c r="E114" s="3" t="s">
        <v>26</v>
      </c>
      <c r="F114" s="3" t="s">
        <v>18</v>
      </c>
      <c r="G114" s="3">
        <v>1775</v>
      </c>
      <c r="H114" s="3">
        <v>47.82</v>
      </c>
      <c r="I114" s="3">
        <v>45.86</v>
      </c>
      <c r="J114" s="3">
        <v>180</v>
      </c>
      <c r="K114" s="3" t="s">
        <v>15</v>
      </c>
      <c r="L114" s="3">
        <f t="shared" si="4"/>
        <v>15</v>
      </c>
      <c r="M114" s="4">
        <f t="shared" si="5"/>
        <v>1.9600000000000009</v>
      </c>
      <c r="N114" s="6">
        <f t="shared" si="6"/>
        <v>4.0987034713509007E-2</v>
      </c>
      <c r="O114" s="4">
        <f t="shared" si="7"/>
        <v>3479.0000000000014</v>
      </c>
    </row>
    <row r="115" spans="1:15" x14ac:dyDescent="0.3">
      <c r="A115" s="3" t="s">
        <v>140</v>
      </c>
      <c r="B115" s="3" t="s">
        <v>20</v>
      </c>
      <c r="C115" s="5">
        <v>44967</v>
      </c>
      <c r="D115" s="3"/>
      <c r="E115" s="3" t="s">
        <v>26</v>
      </c>
      <c r="F115" s="3" t="s">
        <v>33</v>
      </c>
      <c r="G115" s="3">
        <v>345</v>
      </c>
      <c r="H115" s="3">
        <v>103.62</v>
      </c>
      <c r="I115" s="3">
        <v>98.09</v>
      </c>
      <c r="J115" s="3">
        <v>25</v>
      </c>
      <c r="K115" s="3" t="s">
        <v>27</v>
      </c>
      <c r="L115" s="3" t="str">
        <f t="shared" si="4"/>
        <v/>
      </c>
      <c r="M115" s="4">
        <f t="shared" si="5"/>
        <v>5.5300000000000011</v>
      </c>
      <c r="N115" s="6">
        <f t="shared" si="6"/>
        <v>5.3368075661069297E-2</v>
      </c>
      <c r="O115" s="4">
        <f t="shared" si="7"/>
        <v>1907.8500000000004</v>
      </c>
    </row>
    <row r="116" spans="1:15" x14ac:dyDescent="0.3">
      <c r="A116" s="3" t="s">
        <v>141</v>
      </c>
      <c r="B116" s="3" t="s">
        <v>23</v>
      </c>
      <c r="C116" s="5">
        <v>45220</v>
      </c>
      <c r="D116" s="5">
        <v>45239</v>
      </c>
      <c r="E116" s="3" t="s">
        <v>39</v>
      </c>
      <c r="F116" s="3" t="s">
        <v>18</v>
      </c>
      <c r="G116" s="3">
        <v>1798</v>
      </c>
      <c r="H116" s="3">
        <v>94.8</v>
      </c>
      <c r="I116" s="3">
        <v>91.83</v>
      </c>
      <c r="J116" s="3"/>
      <c r="K116" s="3" t="s">
        <v>15</v>
      </c>
      <c r="L116" s="3">
        <f t="shared" si="4"/>
        <v>19</v>
      </c>
      <c r="M116" s="4">
        <f t="shared" si="5"/>
        <v>2.9699999999999989</v>
      </c>
      <c r="N116" s="6">
        <f t="shared" si="6"/>
        <v>3.1329113924050619E-2</v>
      </c>
      <c r="O116" s="4">
        <f t="shared" si="7"/>
        <v>5340.0599999999977</v>
      </c>
    </row>
    <row r="117" spans="1:15" x14ac:dyDescent="0.3">
      <c r="A117" s="3" t="s">
        <v>142</v>
      </c>
      <c r="B117" s="3" t="s">
        <v>12</v>
      </c>
      <c r="C117" s="5">
        <v>45031</v>
      </c>
      <c r="D117" s="5">
        <v>45047</v>
      </c>
      <c r="E117" s="3" t="s">
        <v>21</v>
      </c>
      <c r="F117" s="3" t="s">
        <v>18</v>
      </c>
      <c r="G117" s="3">
        <v>769</v>
      </c>
      <c r="H117" s="3">
        <v>91.86</v>
      </c>
      <c r="I117" s="3">
        <v>86.55</v>
      </c>
      <c r="J117" s="3">
        <v>17</v>
      </c>
      <c r="K117" s="3" t="s">
        <v>15</v>
      </c>
      <c r="L117" s="3">
        <f t="shared" si="4"/>
        <v>16</v>
      </c>
      <c r="M117" s="4">
        <f t="shared" si="5"/>
        <v>5.3100000000000023</v>
      </c>
      <c r="N117" s="6">
        <f t="shared" si="6"/>
        <v>5.7805355976485985E-2</v>
      </c>
      <c r="O117" s="4">
        <f t="shared" si="7"/>
        <v>4083.3900000000017</v>
      </c>
    </row>
    <row r="118" spans="1:15" x14ac:dyDescent="0.3">
      <c r="A118" s="3" t="s">
        <v>143</v>
      </c>
      <c r="B118" s="3" t="s">
        <v>12</v>
      </c>
      <c r="C118" s="5">
        <v>44708</v>
      </c>
      <c r="D118" s="3"/>
      <c r="E118" s="3" t="s">
        <v>24</v>
      </c>
      <c r="F118" s="3" t="s">
        <v>18</v>
      </c>
      <c r="G118" s="3">
        <v>1822</v>
      </c>
      <c r="H118" s="3">
        <v>53.23</v>
      </c>
      <c r="I118" s="3">
        <v>47.49</v>
      </c>
      <c r="J118" s="3">
        <v>39</v>
      </c>
      <c r="K118" s="3" t="s">
        <v>15</v>
      </c>
      <c r="L118" s="3" t="str">
        <f t="shared" si="4"/>
        <v/>
      </c>
      <c r="M118" s="4">
        <f t="shared" si="5"/>
        <v>5.7399999999999949</v>
      </c>
      <c r="N118" s="6">
        <f t="shared" si="6"/>
        <v>0.10783392823595708</v>
      </c>
      <c r="O118" s="4">
        <f t="shared" si="7"/>
        <v>10458.279999999992</v>
      </c>
    </row>
    <row r="119" spans="1:15" x14ac:dyDescent="0.3">
      <c r="A119" s="3" t="s">
        <v>144</v>
      </c>
      <c r="B119" s="3" t="s">
        <v>17</v>
      </c>
      <c r="C119" s="5">
        <v>44833</v>
      </c>
      <c r="D119" s="5">
        <v>44847</v>
      </c>
      <c r="E119" s="3" t="s">
        <v>24</v>
      </c>
      <c r="F119" s="3" t="s">
        <v>18</v>
      </c>
      <c r="G119" s="3">
        <v>387</v>
      </c>
      <c r="H119" s="3">
        <v>49.23</v>
      </c>
      <c r="I119" s="3">
        <v>45.41</v>
      </c>
      <c r="J119" s="3">
        <v>61</v>
      </c>
      <c r="K119" s="3" t="s">
        <v>15</v>
      </c>
      <c r="L119" s="3">
        <f t="shared" si="4"/>
        <v>14</v>
      </c>
      <c r="M119" s="4">
        <f t="shared" si="5"/>
        <v>3.8200000000000003</v>
      </c>
      <c r="N119" s="6">
        <f t="shared" si="6"/>
        <v>7.7594962421287841E-2</v>
      </c>
      <c r="O119" s="4">
        <f t="shared" si="7"/>
        <v>1478.3400000000001</v>
      </c>
    </row>
    <row r="120" spans="1:15" x14ac:dyDescent="0.3">
      <c r="A120" s="3" t="s">
        <v>145</v>
      </c>
      <c r="B120" s="3" t="s">
        <v>29</v>
      </c>
      <c r="C120" s="5">
        <v>44704</v>
      </c>
      <c r="D120" s="5">
        <v>44708</v>
      </c>
      <c r="E120" s="3" t="s">
        <v>21</v>
      </c>
      <c r="F120" s="3" t="s">
        <v>18</v>
      </c>
      <c r="G120" s="3">
        <v>928</v>
      </c>
      <c r="H120" s="3">
        <v>35.299999999999997</v>
      </c>
      <c r="I120" s="3">
        <v>32.520000000000003</v>
      </c>
      <c r="J120" s="3">
        <v>26</v>
      </c>
      <c r="K120" s="3" t="s">
        <v>15</v>
      </c>
      <c r="L120" s="3">
        <f t="shared" si="4"/>
        <v>4</v>
      </c>
      <c r="M120" s="4">
        <f t="shared" si="5"/>
        <v>2.779999999999994</v>
      </c>
      <c r="N120" s="6">
        <f t="shared" si="6"/>
        <v>7.8753541076487091E-2</v>
      </c>
      <c r="O120" s="4">
        <f t="shared" si="7"/>
        <v>2579.8399999999947</v>
      </c>
    </row>
    <row r="121" spans="1:15" x14ac:dyDescent="0.3">
      <c r="A121" s="3" t="s">
        <v>146</v>
      </c>
      <c r="B121" s="3" t="s">
        <v>12</v>
      </c>
      <c r="C121" s="5">
        <v>44814</v>
      </c>
      <c r="D121" s="5">
        <v>44825</v>
      </c>
      <c r="E121" s="3" t="s">
        <v>24</v>
      </c>
      <c r="F121" s="3" t="s">
        <v>33</v>
      </c>
      <c r="G121" s="3">
        <v>1126</v>
      </c>
      <c r="H121" s="3">
        <v>15.68</v>
      </c>
      <c r="I121" s="3">
        <v>14.97</v>
      </c>
      <c r="J121" s="3">
        <v>27</v>
      </c>
      <c r="K121" s="3" t="s">
        <v>15</v>
      </c>
      <c r="L121" s="3">
        <f t="shared" si="4"/>
        <v>11</v>
      </c>
      <c r="M121" s="4">
        <f t="shared" si="5"/>
        <v>0.70999999999999908</v>
      </c>
      <c r="N121" s="6">
        <f t="shared" si="6"/>
        <v>4.5280612244897898E-2</v>
      </c>
      <c r="O121" s="4">
        <f t="shared" si="7"/>
        <v>799.45999999999901</v>
      </c>
    </row>
    <row r="122" spans="1:15" x14ac:dyDescent="0.3">
      <c r="A122" s="3" t="s">
        <v>147</v>
      </c>
      <c r="B122" s="3" t="s">
        <v>23</v>
      </c>
      <c r="C122" s="5">
        <v>45136</v>
      </c>
      <c r="D122" s="5">
        <v>45152</v>
      </c>
      <c r="E122" s="3" t="s">
        <v>26</v>
      </c>
      <c r="F122" s="3" t="s">
        <v>14</v>
      </c>
      <c r="G122" s="3">
        <v>841</v>
      </c>
      <c r="H122" s="3">
        <v>95.73</v>
      </c>
      <c r="I122" s="3">
        <v>85.33</v>
      </c>
      <c r="J122" s="3">
        <v>81</v>
      </c>
      <c r="K122" s="3" t="s">
        <v>15</v>
      </c>
      <c r="L122" s="3">
        <f t="shared" si="4"/>
        <v>16</v>
      </c>
      <c r="M122" s="4">
        <f t="shared" si="5"/>
        <v>10.400000000000006</v>
      </c>
      <c r="N122" s="6">
        <f t="shared" si="6"/>
        <v>0.10863888018385047</v>
      </c>
      <c r="O122" s="4">
        <f t="shared" si="7"/>
        <v>8746.4000000000051</v>
      </c>
    </row>
    <row r="123" spans="1:15" x14ac:dyDescent="0.3">
      <c r="A123" s="3" t="s">
        <v>148</v>
      </c>
      <c r="B123" s="3" t="s">
        <v>23</v>
      </c>
      <c r="C123" s="5">
        <v>45113</v>
      </c>
      <c r="D123" s="5">
        <v>45126</v>
      </c>
      <c r="E123" s="3" t="s">
        <v>39</v>
      </c>
      <c r="F123" s="3" t="s">
        <v>18</v>
      </c>
      <c r="G123" s="3">
        <v>1995</v>
      </c>
      <c r="H123" s="3">
        <v>90.65</v>
      </c>
      <c r="I123" s="3">
        <v>77.75</v>
      </c>
      <c r="J123" s="3">
        <v>206</v>
      </c>
      <c r="K123" s="3" t="s">
        <v>15</v>
      </c>
      <c r="L123" s="3">
        <f t="shared" si="4"/>
        <v>13</v>
      </c>
      <c r="M123" s="4">
        <f t="shared" si="5"/>
        <v>12.900000000000006</v>
      </c>
      <c r="N123" s="6">
        <f t="shared" si="6"/>
        <v>0.14230557087699949</v>
      </c>
      <c r="O123" s="4">
        <f t="shared" si="7"/>
        <v>25735.500000000011</v>
      </c>
    </row>
    <row r="124" spans="1:15" x14ac:dyDescent="0.3">
      <c r="A124" s="3" t="s">
        <v>149</v>
      </c>
      <c r="B124" s="3" t="s">
        <v>12</v>
      </c>
      <c r="C124" s="5">
        <v>44831</v>
      </c>
      <c r="D124" s="5">
        <v>44849</v>
      </c>
      <c r="E124" s="3" t="s">
        <v>26</v>
      </c>
      <c r="F124" s="3" t="s">
        <v>18</v>
      </c>
      <c r="G124" s="3">
        <v>266</v>
      </c>
      <c r="H124" s="3">
        <v>103.97</v>
      </c>
      <c r="I124" s="3">
        <v>101.44</v>
      </c>
      <c r="J124" s="3">
        <v>6</v>
      </c>
      <c r="K124" s="3" t="s">
        <v>15</v>
      </c>
      <c r="L124" s="3">
        <f t="shared" si="4"/>
        <v>18</v>
      </c>
      <c r="M124" s="4">
        <f t="shared" si="5"/>
        <v>2.5300000000000011</v>
      </c>
      <c r="N124" s="6">
        <f t="shared" si="6"/>
        <v>2.4333942483408685E-2</v>
      </c>
      <c r="O124" s="4">
        <f t="shared" si="7"/>
        <v>672.98000000000025</v>
      </c>
    </row>
    <row r="125" spans="1:15" x14ac:dyDescent="0.3">
      <c r="A125" s="3" t="s">
        <v>150</v>
      </c>
      <c r="B125" s="3" t="s">
        <v>12</v>
      </c>
      <c r="C125" s="5">
        <v>45160</v>
      </c>
      <c r="D125" s="5">
        <v>45163</v>
      </c>
      <c r="E125" s="3" t="s">
        <v>26</v>
      </c>
      <c r="F125" s="3" t="s">
        <v>14</v>
      </c>
      <c r="G125" s="3">
        <v>813</v>
      </c>
      <c r="H125" s="3">
        <v>109.17</v>
      </c>
      <c r="I125" s="3">
        <v>107.39</v>
      </c>
      <c r="J125" s="3">
        <v>14</v>
      </c>
      <c r="K125" s="3" t="s">
        <v>15</v>
      </c>
      <c r="L125" s="3">
        <f t="shared" si="4"/>
        <v>3</v>
      </c>
      <c r="M125" s="4">
        <f t="shared" si="5"/>
        <v>1.7800000000000011</v>
      </c>
      <c r="N125" s="6">
        <f t="shared" si="6"/>
        <v>1.6304845653567841E-2</v>
      </c>
      <c r="O125" s="4">
        <f t="shared" si="7"/>
        <v>1447.140000000001</v>
      </c>
    </row>
    <row r="126" spans="1:15" x14ac:dyDescent="0.3">
      <c r="A126" s="3" t="s">
        <v>151</v>
      </c>
      <c r="B126" s="3" t="s">
        <v>29</v>
      </c>
      <c r="C126" s="5">
        <v>45000</v>
      </c>
      <c r="D126" s="5">
        <v>45011</v>
      </c>
      <c r="E126" s="3" t="s">
        <v>39</v>
      </c>
      <c r="F126" s="3" t="s">
        <v>18</v>
      </c>
      <c r="G126" s="3">
        <v>237</v>
      </c>
      <c r="H126" s="3">
        <v>64.19</v>
      </c>
      <c r="I126" s="3">
        <v>59.01</v>
      </c>
      <c r="J126" s="3">
        <v>7</v>
      </c>
      <c r="K126" s="3" t="s">
        <v>15</v>
      </c>
      <c r="L126" s="3">
        <f t="shared" si="4"/>
        <v>11</v>
      </c>
      <c r="M126" s="4">
        <f t="shared" si="5"/>
        <v>5.18</v>
      </c>
      <c r="N126" s="6">
        <f t="shared" si="6"/>
        <v>8.0697928026172303E-2</v>
      </c>
      <c r="O126" s="4">
        <f t="shared" si="7"/>
        <v>1227.6599999999999</v>
      </c>
    </row>
    <row r="127" spans="1:15" x14ac:dyDescent="0.3">
      <c r="A127" s="3" t="s">
        <v>152</v>
      </c>
      <c r="B127" s="3" t="s">
        <v>12</v>
      </c>
      <c r="C127" s="5">
        <v>45159</v>
      </c>
      <c r="D127" s="5">
        <v>45172</v>
      </c>
      <c r="E127" s="3" t="s">
        <v>13</v>
      </c>
      <c r="F127" s="3" t="s">
        <v>14</v>
      </c>
      <c r="G127" s="3">
        <v>429</v>
      </c>
      <c r="H127" s="3">
        <v>86.73</v>
      </c>
      <c r="I127" s="3">
        <v>75.09</v>
      </c>
      <c r="J127" s="3">
        <v>9</v>
      </c>
      <c r="K127" s="3" t="s">
        <v>15</v>
      </c>
      <c r="L127" s="3">
        <f t="shared" si="4"/>
        <v>13</v>
      </c>
      <c r="M127" s="4">
        <f t="shared" si="5"/>
        <v>11.64</v>
      </c>
      <c r="N127" s="6">
        <f t="shared" si="6"/>
        <v>0.13420961604980974</v>
      </c>
      <c r="O127" s="4">
        <f t="shared" si="7"/>
        <v>4993.5600000000004</v>
      </c>
    </row>
    <row r="128" spans="1:15" x14ac:dyDescent="0.3">
      <c r="A128" s="3" t="s">
        <v>153</v>
      </c>
      <c r="B128" s="3" t="s">
        <v>17</v>
      </c>
      <c r="C128" s="5">
        <v>44970</v>
      </c>
      <c r="D128" s="5">
        <v>44971</v>
      </c>
      <c r="E128" s="3" t="s">
        <v>24</v>
      </c>
      <c r="F128" s="3" t="s">
        <v>18</v>
      </c>
      <c r="G128" s="3">
        <v>542</v>
      </c>
      <c r="H128" s="3">
        <v>101.21</v>
      </c>
      <c r="I128" s="3">
        <v>93.11</v>
      </c>
      <c r="J128" s="3">
        <v>78</v>
      </c>
      <c r="K128" s="3" t="s">
        <v>27</v>
      </c>
      <c r="L128" s="3">
        <f t="shared" si="4"/>
        <v>1</v>
      </c>
      <c r="M128" s="4">
        <f t="shared" si="5"/>
        <v>8.0999999999999943</v>
      </c>
      <c r="N128" s="6">
        <f t="shared" si="6"/>
        <v>8.0031617429107749E-2</v>
      </c>
      <c r="O128" s="4">
        <f t="shared" si="7"/>
        <v>4390.1999999999971</v>
      </c>
    </row>
    <row r="129" spans="1:15" x14ac:dyDescent="0.3">
      <c r="A129" s="3" t="s">
        <v>154</v>
      </c>
      <c r="B129" s="3" t="s">
        <v>29</v>
      </c>
      <c r="C129" s="5">
        <v>44932</v>
      </c>
      <c r="D129" s="5">
        <v>44950</v>
      </c>
      <c r="E129" s="3" t="s">
        <v>39</v>
      </c>
      <c r="F129" s="3" t="s">
        <v>18</v>
      </c>
      <c r="G129" s="3">
        <v>1114</v>
      </c>
      <c r="H129" s="3">
        <v>91.66</v>
      </c>
      <c r="I129" s="3">
        <v>85.53</v>
      </c>
      <c r="J129" s="3">
        <v>35</v>
      </c>
      <c r="K129" s="3" t="s">
        <v>15</v>
      </c>
      <c r="L129" s="3">
        <f t="shared" si="4"/>
        <v>18</v>
      </c>
      <c r="M129" s="4">
        <f t="shared" si="5"/>
        <v>6.1299999999999955</v>
      </c>
      <c r="N129" s="6">
        <f t="shared" si="6"/>
        <v>6.6877591097534314E-2</v>
      </c>
      <c r="O129" s="4">
        <f t="shared" si="7"/>
        <v>6828.8199999999952</v>
      </c>
    </row>
    <row r="130" spans="1:15" x14ac:dyDescent="0.3">
      <c r="A130" s="3" t="s">
        <v>155</v>
      </c>
      <c r="B130" s="3" t="s">
        <v>12</v>
      </c>
      <c r="C130" s="5">
        <v>44786</v>
      </c>
      <c r="D130" s="5">
        <v>44788</v>
      </c>
      <c r="E130" s="3" t="s">
        <v>21</v>
      </c>
      <c r="F130" s="3" t="s">
        <v>18</v>
      </c>
      <c r="G130" s="3">
        <v>1230</v>
      </c>
      <c r="H130" s="3">
        <v>33.39</v>
      </c>
      <c r="I130" s="3">
        <v>30.85</v>
      </c>
      <c r="J130" s="3">
        <v>26</v>
      </c>
      <c r="K130" s="3" t="s">
        <v>15</v>
      </c>
      <c r="L130" s="3">
        <f t="shared" si="4"/>
        <v>2</v>
      </c>
      <c r="M130" s="4">
        <f t="shared" si="5"/>
        <v>2.5399999999999991</v>
      </c>
      <c r="N130" s="6">
        <f t="shared" si="6"/>
        <v>7.607067984426473E-2</v>
      </c>
      <c r="O130" s="4">
        <f t="shared" si="7"/>
        <v>3124.1999999999989</v>
      </c>
    </row>
    <row r="131" spans="1:15" x14ac:dyDescent="0.3">
      <c r="A131" s="3" t="s">
        <v>156</v>
      </c>
      <c r="B131" s="3" t="s">
        <v>23</v>
      </c>
      <c r="C131" s="5">
        <v>44703</v>
      </c>
      <c r="D131" s="5">
        <v>44715</v>
      </c>
      <c r="E131" s="3" t="s">
        <v>21</v>
      </c>
      <c r="F131" s="3" t="s">
        <v>18</v>
      </c>
      <c r="G131" s="3">
        <v>64</v>
      </c>
      <c r="H131" s="3">
        <v>51.56</v>
      </c>
      <c r="I131" s="3">
        <v>50.88</v>
      </c>
      <c r="J131" s="3">
        <v>5</v>
      </c>
      <c r="K131" s="3" t="s">
        <v>15</v>
      </c>
      <c r="L131" s="3">
        <f t="shared" ref="L131:L194" si="8">IF(OR(C131="",D131=""),"",D131-C131)</f>
        <v>12</v>
      </c>
      <c r="M131" s="4">
        <f t="shared" ref="M131:M194" si="9">H131-I131</f>
        <v>0.67999999999999972</v>
      </c>
      <c r="N131" s="6">
        <f t="shared" ref="N131:N194" si="10">IFERROR((H131-I131)/H131,0)</f>
        <v>1.318851823118696E-2</v>
      </c>
      <c r="O131" s="4">
        <f t="shared" ref="O131:O194" si="11">(H131-I131)*G131</f>
        <v>43.519999999999982</v>
      </c>
    </row>
    <row r="132" spans="1:15" x14ac:dyDescent="0.3">
      <c r="A132" s="3" t="s">
        <v>157</v>
      </c>
      <c r="B132" s="3" t="s">
        <v>12</v>
      </c>
      <c r="C132" s="5">
        <v>45083</v>
      </c>
      <c r="D132" s="5">
        <v>45099</v>
      </c>
      <c r="E132" s="3" t="s">
        <v>21</v>
      </c>
      <c r="F132" s="3" t="s">
        <v>18</v>
      </c>
      <c r="G132" s="3">
        <v>1886</v>
      </c>
      <c r="H132" s="3">
        <v>23.46</v>
      </c>
      <c r="I132" s="3">
        <v>23.18</v>
      </c>
      <c r="J132" s="3"/>
      <c r="K132" s="3" t="s">
        <v>15</v>
      </c>
      <c r="L132" s="3">
        <f t="shared" si="8"/>
        <v>16</v>
      </c>
      <c r="M132" s="4">
        <f t="shared" si="9"/>
        <v>0.28000000000000114</v>
      </c>
      <c r="N132" s="6">
        <f t="shared" si="10"/>
        <v>1.1935208866155206E-2</v>
      </c>
      <c r="O132" s="4">
        <f t="shared" si="11"/>
        <v>528.0800000000022</v>
      </c>
    </row>
    <row r="133" spans="1:15" x14ac:dyDescent="0.3">
      <c r="A133" s="3" t="s">
        <v>158</v>
      </c>
      <c r="B133" s="3" t="s">
        <v>17</v>
      </c>
      <c r="C133" s="5">
        <v>45067</v>
      </c>
      <c r="D133" s="5">
        <v>45069</v>
      </c>
      <c r="E133" s="3" t="s">
        <v>13</v>
      </c>
      <c r="F133" s="3" t="s">
        <v>18</v>
      </c>
      <c r="G133" s="3">
        <v>114</v>
      </c>
      <c r="H133" s="3">
        <v>103.53</v>
      </c>
      <c r="I133" s="3">
        <v>101.54</v>
      </c>
      <c r="J133" s="3">
        <v>14</v>
      </c>
      <c r="K133" s="3" t="s">
        <v>15</v>
      </c>
      <c r="L133" s="3">
        <f t="shared" si="8"/>
        <v>2</v>
      </c>
      <c r="M133" s="4">
        <f t="shared" si="9"/>
        <v>1.9899999999999949</v>
      </c>
      <c r="N133" s="6">
        <f t="shared" si="10"/>
        <v>1.9221481696126676E-2</v>
      </c>
      <c r="O133" s="4">
        <f t="shared" si="11"/>
        <v>226.85999999999942</v>
      </c>
    </row>
    <row r="134" spans="1:15" x14ac:dyDescent="0.3">
      <c r="A134" s="3" t="s">
        <v>159</v>
      </c>
      <c r="B134" s="3" t="s">
        <v>17</v>
      </c>
      <c r="C134" s="5">
        <v>44655</v>
      </c>
      <c r="D134" s="5">
        <v>44673</v>
      </c>
      <c r="E134" s="3" t="s">
        <v>39</v>
      </c>
      <c r="F134" s="3" t="s">
        <v>14</v>
      </c>
      <c r="G134" s="3">
        <v>1930</v>
      </c>
      <c r="H134" s="3">
        <v>65.52</v>
      </c>
      <c r="I134" s="3">
        <v>56.9</v>
      </c>
      <c r="J134" s="3">
        <v>282</v>
      </c>
      <c r="K134" s="3" t="s">
        <v>15</v>
      </c>
      <c r="L134" s="3">
        <f t="shared" si="8"/>
        <v>18</v>
      </c>
      <c r="M134" s="4">
        <f t="shared" si="9"/>
        <v>8.6199999999999974</v>
      </c>
      <c r="N134" s="6">
        <f t="shared" si="10"/>
        <v>0.13156288156288154</v>
      </c>
      <c r="O134" s="4">
        <f t="shared" si="11"/>
        <v>16636.599999999995</v>
      </c>
    </row>
    <row r="135" spans="1:15" x14ac:dyDescent="0.3">
      <c r="A135" s="3" t="s">
        <v>160</v>
      </c>
      <c r="B135" s="3" t="s">
        <v>23</v>
      </c>
      <c r="C135" s="5">
        <v>44610</v>
      </c>
      <c r="D135" s="5">
        <v>44620</v>
      </c>
      <c r="E135" s="3" t="s">
        <v>13</v>
      </c>
      <c r="F135" s="3" t="s">
        <v>35</v>
      </c>
      <c r="G135" s="3">
        <v>1912</v>
      </c>
      <c r="H135" s="3">
        <v>30.73</v>
      </c>
      <c r="I135" s="3">
        <v>29.82</v>
      </c>
      <c r="J135" s="3">
        <v>191</v>
      </c>
      <c r="K135" s="3" t="s">
        <v>15</v>
      </c>
      <c r="L135" s="3">
        <f t="shared" si="8"/>
        <v>10</v>
      </c>
      <c r="M135" s="4">
        <f t="shared" si="9"/>
        <v>0.91000000000000014</v>
      </c>
      <c r="N135" s="6">
        <f t="shared" si="10"/>
        <v>2.9612756264236907E-2</v>
      </c>
      <c r="O135" s="4">
        <f t="shared" si="11"/>
        <v>1739.9200000000003</v>
      </c>
    </row>
    <row r="136" spans="1:15" x14ac:dyDescent="0.3">
      <c r="A136" s="3" t="s">
        <v>161</v>
      </c>
      <c r="B136" s="3" t="s">
        <v>29</v>
      </c>
      <c r="C136" s="5">
        <v>44674</v>
      </c>
      <c r="D136" s="5">
        <v>44690</v>
      </c>
      <c r="E136" s="3" t="s">
        <v>21</v>
      </c>
      <c r="F136" s="3" t="s">
        <v>18</v>
      </c>
      <c r="G136" s="3">
        <v>570</v>
      </c>
      <c r="H136" s="3">
        <v>71.510000000000005</v>
      </c>
      <c r="I136" s="3">
        <v>66.47</v>
      </c>
      <c r="J136" s="3"/>
      <c r="K136" s="3" t="s">
        <v>15</v>
      </c>
      <c r="L136" s="3">
        <f t="shared" si="8"/>
        <v>16</v>
      </c>
      <c r="M136" s="4">
        <f t="shared" si="9"/>
        <v>5.0400000000000063</v>
      </c>
      <c r="N136" s="6">
        <f t="shared" si="10"/>
        <v>7.0479653195357372E-2</v>
      </c>
      <c r="O136" s="4">
        <f t="shared" si="11"/>
        <v>2872.8000000000034</v>
      </c>
    </row>
    <row r="137" spans="1:15" x14ac:dyDescent="0.3">
      <c r="A137" s="3" t="s">
        <v>162</v>
      </c>
      <c r="B137" s="3" t="s">
        <v>23</v>
      </c>
      <c r="C137" s="5">
        <v>44718</v>
      </c>
      <c r="D137" s="5">
        <v>44738</v>
      </c>
      <c r="E137" s="3" t="s">
        <v>26</v>
      </c>
      <c r="F137" s="3" t="s">
        <v>18</v>
      </c>
      <c r="G137" s="3">
        <v>1417</v>
      </c>
      <c r="H137" s="3">
        <v>67.27</v>
      </c>
      <c r="I137" s="3">
        <v>60.62</v>
      </c>
      <c r="J137" s="3"/>
      <c r="K137" s="3" t="s">
        <v>15</v>
      </c>
      <c r="L137" s="3">
        <f t="shared" si="8"/>
        <v>20</v>
      </c>
      <c r="M137" s="4">
        <f t="shared" si="9"/>
        <v>6.6499999999999986</v>
      </c>
      <c r="N137" s="6">
        <f t="shared" si="10"/>
        <v>9.8855359001040574E-2</v>
      </c>
      <c r="O137" s="4">
        <f t="shared" si="11"/>
        <v>9423.0499999999975</v>
      </c>
    </row>
    <row r="138" spans="1:15" x14ac:dyDescent="0.3">
      <c r="A138" s="3" t="s">
        <v>163</v>
      </c>
      <c r="B138" s="3" t="s">
        <v>12</v>
      </c>
      <c r="C138" s="5">
        <v>45204</v>
      </c>
      <c r="D138" s="5">
        <v>45210</v>
      </c>
      <c r="E138" s="3" t="s">
        <v>26</v>
      </c>
      <c r="F138" s="3" t="s">
        <v>18</v>
      </c>
      <c r="G138" s="3">
        <v>1202</v>
      </c>
      <c r="H138" s="3">
        <v>46.67</v>
      </c>
      <c r="I138" s="3">
        <v>44.13</v>
      </c>
      <c r="J138" s="3">
        <v>21</v>
      </c>
      <c r="K138" s="3" t="s">
        <v>27</v>
      </c>
      <c r="L138" s="3">
        <f t="shared" si="8"/>
        <v>6</v>
      </c>
      <c r="M138" s="4">
        <f t="shared" si="9"/>
        <v>2.5399999999999991</v>
      </c>
      <c r="N138" s="6">
        <f t="shared" si="10"/>
        <v>5.442468395114633E-2</v>
      </c>
      <c r="O138" s="4">
        <f t="shared" si="11"/>
        <v>3053.079999999999</v>
      </c>
    </row>
    <row r="139" spans="1:15" x14ac:dyDescent="0.3">
      <c r="A139" s="3" t="s">
        <v>164</v>
      </c>
      <c r="B139" s="3" t="s">
        <v>23</v>
      </c>
      <c r="C139" s="5">
        <v>44725</v>
      </c>
      <c r="D139" s="5">
        <v>44726</v>
      </c>
      <c r="E139" s="3" t="s">
        <v>13</v>
      </c>
      <c r="F139" s="3" t="s">
        <v>18</v>
      </c>
      <c r="G139" s="3">
        <v>697</v>
      </c>
      <c r="H139" s="3">
        <v>20.73</v>
      </c>
      <c r="I139" s="3">
        <v>19.829999999999998</v>
      </c>
      <c r="J139" s="3">
        <v>78</v>
      </c>
      <c r="K139" s="3" t="s">
        <v>27</v>
      </c>
      <c r="L139" s="3">
        <f t="shared" si="8"/>
        <v>1</v>
      </c>
      <c r="M139" s="4">
        <f t="shared" si="9"/>
        <v>0.90000000000000213</v>
      </c>
      <c r="N139" s="6">
        <f t="shared" si="10"/>
        <v>4.3415340086830782E-2</v>
      </c>
      <c r="O139" s="4">
        <f t="shared" si="11"/>
        <v>627.30000000000143</v>
      </c>
    </row>
    <row r="140" spans="1:15" x14ac:dyDescent="0.3">
      <c r="A140" s="3" t="s">
        <v>165</v>
      </c>
      <c r="B140" s="3" t="s">
        <v>29</v>
      </c>
      <c r="C140" s="5">
        <v>45258</v>
      </c>
      <c r="D140" s="5">
        <v>45261</v>
      </c>
      <c r="E140" s="3" t="s">
        <v>21</v>
      </c>
      <c r="F140" s="3" t="s">
        <v>18</v>
      </c>
      <c r="G140" s="3">
        <v>1545</v>
      </c>
      <c r="H140" s="3">
        <v>78.19</v>
      </c>
      <c r="I140" s="3">
        <v>76.91</v>
      </c>
      <c r="J140" s="3">
        <v>42</v>
      </c>
      <c r="K140" s="3" t="s">
        <v>15</v>
      </c>
      <c r="L140" s="3">
        <f t="shared" si="8"/>
        <v>3</v>
      </c>
      <c r="M140" s="4">
        <f t="shared" si="9"/>
        <v>1.2800000000000011</v>
      </c>
      <c r="N140" s="6">
        <f t="shared" si="10"/>
        <v>1.6370379843969832E-2</v>
      </c>
      <c r="O140" s="4">
        <f t="shared" si="11"/>
        <v>1977.6000000000017</v>
      </c>
    </row>
    <row r="141" spans="1:15" x14ac:dyDescent="0.3">
      <c r="A141" s="3" t="s">
        <v>166</v>
      </c>
      <c r="B141" s="3" t="s">
        <v>20</v>
      </c>
      <c r="C141" s="5">
        <v>44994</v>
      </c>
      <c r="D141" s="5">
        <v>44998</v>
      </c>
      <c r="E141" s="3" t="s">
        <v>21</v>
      </c>
      <c r="F141" s="3" t="s">
        <v>33</v>
      </c>
      <c r="G141" s="3">
        <v>1136</v>
      </c>
      <c r="H141" s="3">
        <v>60.81</v>
      </c>
      <c r="I141" s="3">
        <v>58.25</v>
      </c>
      <c r="J141" s="3">
        <v>62</v>
      </c>
      <c r="K141" s="3" t="s">
        <v>15</v>
      </c>
      <c r="L141" s="3">
        <f t="shared" si="8"/>
        <v>4</v>
      </c>
      <c r="M141" s="4">
        <f t="shared" si="9"/>
        <v>2.5600000000000023</v>
      </c>
      <c r="N141" s="6">
        <f t="shared" si="10"/>
        <v>4.2098339088965667E-2</v>
      </c>
      <c r="O141" s="4">
        <f t="shared" si="11"/>
        <v>2908.1600000000026</v>
      </c>
    </row>
    <row r="142" spans="1:15" x14ac:dyDescent="0.3">
      <c r="A142" s="3" t="s">
        <v>167</v>
      </c>
      <c r="B142" s="3" t="s">
        <v>23</v>
      </c>
      <c r="C142" s="5">
        <v>45172</v>
      </c>
      <c r="D142" s="5">
        <v>45176</v>
      </c>
      <c r="E142" s="3" t="s">
        <v>21</v>
      </c>
      <c r="F142" s="3" t="s">
        <v>18</v>
      </c>
      <c r="G142" s="3">
        <v>1212</v>
      </c>
      <c r="H142" s="3">
        <v>87.46</v>
      </c>
      <c r="I142" s="3">
        <v>74.55</v>
      </c>
      <c r="J142" s="3">
        <v>118</v>
      </c>
      <c r="K142" s="3" t="s">
        <v>27</v>
      </c>
      <c r="L142" s="3">
        <f t="shared" si="8"/>
        <v>4</v>
      </c>
      <c r="M142" s="4">
        <f t="shared" si="9"/>
        <v>12.909999999999997</v>
      </c>
      <c r="N142" s="6">
        <f t="shared" si="10"/>
        <v>0.14761033615367022</v>
      </c>
      <c r="O142" s="4">
        <f t="shared" si="11"/>
        <v>15646.919999999996</v>
      </c>
    </row>
    <row r="143" spans="1:15" x14ac:dyDescent="0.3">
      <c r="A143" s="3" t="s">
        <v>168</v>
      </c>
      <c r="B143" s="3" t="s">
        <v>29</v>
      </c>
      <c r="C143" s="5">
        <v>44627</v>
      </c>
      <c r="D143" s="5">
        <v>44632</v>
      </c>
      <c r="E143" s="3" t="s">
        <v>21</v>
      </c>
      <c r="F143" s="3" t="s">
        <v>18</v>
      </c>
      <c r="G143" s="3">
        <v>1572</v>
      </c>
      <c r="H143" s="3">
        <v>57.38</v>
      </c>
      <c r="I143" s="3">
        <v>49.32</v>
      </c>
      <c r="J143" s="3">
        <v>40</v>
      </c>
      <c r="K143" s="3" t="s">
        <v>15</v>
      </c>
      <c r="L143" s="3">
        <f t="shared" si="8"/>
        <v>5</v>
      </c>
      <c r="M143" s="4">
        <f t="shared" si="9"/>
        <v>8.0600000000000023</v>
      </c>
      <c r="N143" s="6">
        <f t="shared" si="10"/>
        <v>0.14046706169397005</v>
      </c>
      <c r="O143" s="4">
        <f t="shared" si="11"/>
        <v>12670.320000000003</v>
      </c>
    </row>
    <row r="144" spans="1:15" x14ac:dyDescent="0.3">
      <c r="A144" s="3" t="s">
        <v>169</v>
      </c>
      <c r="B144" s="3" t="s">
        <v>20</v>
      </c>
      <c r="C144" s="5">
        <v>44956</v>
      </c>
      <c r="D144" s="5">
        <v>44966</v>
      </c>
      <c r="E144" s="3" t="s">
        <v>39</v>
      </c>
      <c r="F144" s="3" t="s">
        <v>18</v>
      </c>
      <c r="G144" s="3">
        <v>642</v>
      </c>
      <c r="H144" s="3">
        <v>91.9</v>
      </c>
      <c r="I144" s="3">
        <v>81.489999999999995</v>
      </c>
      <c r="J144" s="3">
        <v>26</v>
      </c>
      <c r="K144" s="3" t="s">
        <v>15</v>
      </c>
      <c r="L144" s="3">
        <f t="shared" si="8"/>
        <v>10</v>
      </c>
      <c r="M144" s="4">
        <f t="shared" si="9"/>
        <v>10.410000000000011</v>
      </c>
      <c r="N144" s="6">
        <f t="shared" si="10"/>
        <v>0.11327529923830261</v>
      </c>
      <c r="O144" s="4">
        <f t="shared" si="11"/>
        <v>6683.2200000000066</v>
      </c>
    </row>
    <row r="145" spans="1:15" x14ac:dyDescent="0.3">
      <c r="A145" s="3" t="s">
        <v>170</v>
      </c>
      <c r="B145" s="3" t="s">
        <v>29</v>
      </c>
      <c r="C145" s="5">
        <v>44952</v>
      </c>
      <c r="D145" s="5">
        <v>44961</v>
      </c>
      <c r="E145" s="3" t="s">
        <v>13</v>
      </c>
      <c r="F145" s="3" t="s">
        <v>18</v>
      </c>
      <c r="G145" s="3">
        <v>441</v>
      </c>
      <c r="H145" s="3">
        <v>63.25</v>
      </c>
      <c r="I145" s="3">
        <v>54.12</v>
      </c>
      <c r="J145" s="3">
        <v>16</v>
      </c>
      <c r="K145" s="3" t="s">
        <v>15</v>
      </c>
      <c r="L145" s="3">
        <f t="shared" si="8"/>
        <v>9</v>
      </c>
      <c r="M145" s="4">
        <f t="shared" si="9"/>
        <v>9.1300000000000026</v>
      </c>
      <c r="N145" s="6">
        <f t="shared" si="10"/>
        <v>0.14434782608695657</v>
      </c>
      <c r="O145" s="4">
        <f t="shared" si="11"/>
        <v>4026.3300000000013</v>
      </c>
    </row>
    <row r="146" spans="1:15" x14ac:dyDescent="0.3">
      <c r="A146" s="3" t="s">
        <v>171</v>
      </c>
      <c r="B146" s="3" t="s">
        <v>29</v>
      </c>
      <c r="C146" s="5">
        <v>45172</v>
      </c>
      <c r="D146" s="5">
        <v>45188</v>
      </c>
      <c r="E146" s="3" t="s">
        <v>13</v>
      </c>
      <c r="F146" s="3" t="s">
        <v>18</v>
      </c>
      <c r="G146" s="3">
        <v>1748</v>
      </c>
      <c r="H146" s="3">
        <v>66.53</v>
      </c>
      <c r="I146" s="3">
        <v>57.11</v>
      </c>
      <c r="J146" s="3"/>
      <c r="K146" s="3" t="s">
        <v>15</v>
      </c>
      <c r="L146" s="3">
        <f t="shared" si="8"/>
        <v>16</v>
      </c>
      <c r="M146" s="4">
        <f t="shared" si="9"/>
        <v>9.4200000000000017</v>
      </c>
      <c r="N146" s="6">
        <f t="shared" si="10"/>
        <v>0.14159026003306782</v>
      </c>
      <c r="O146" s="4">
        <f t="shared" si="11"/>
        <v>16466.160000000003</v>
      </c>
    </row>
    <row r="147" spans="1:15" x14ac:dyDescent="0.3">
      <c r="A147" s="3" t="s">
        <v>172</v>
      </c>
      <c r="B147" s="3" t="s">
        <v>20</v>
      </c>
      <c r="C147" s="5">
        <v>45041</v>
      </c>
      <c r="D147" s="3"/>
      <c r="E147" s="3" t="s">
        <v>39</v>
      </c>
      <c r="F147" s="3" t="s">
        <v>35</v>
      </c>
      <c r="G147" s="3">
        <v>468</v>
      </c>
      <c r="H147" s="3">
        <v>95.57</v>
      </c>
      <c r="I147" s="3">
        <v>91.8</v>
      </c>
      <c r="J147" s="3">
        <v>24</v>
      </c>
      <c r="K147" s="3" t="s">
        <v>15</v>
      </c>
      <c r="L147" s="3" t="str">
        <f t="shared" si="8"/>
        <v/>
      </c>
      <c r="M147" s="4">
        <f t="shared" si="9"/>
        <v>3.769999999999996</v>
      </c>
      <c r="N147" s="6">
        <f t="shared" si="10"/>
        <v>3.944752537407132E-2</v>
      </c>
      <c r="O147" s="4">
        <f t="shared" si="11"/>
        <v>1764.3599999999981</v>
      </c>
    </row>
    <row r="148" spans="1:15" x14ac:dyDescent="0.3">
      <c r="A148" s="3" t="s">
        <v>173</v>
      </c>
      <c r="B148" s="3" t="s">
        <v>23</v>
      </c>
      <c r="C148" s="5">
        <v>45103</v>
      </c>
      <c r="D148" s="5">
        <v>45121</v>
      </c>
      <c r="E148" s="3" t="s">
        <v>26</v>
      </c>
      <c r="F148" s="3" t="s">
        <v>18</v>
      </c>
      <c r="G148" s="3">
        <v>338</v>
      </c>
      <c r="H148" s="3">
        <v>50.25</v>
      </c>
      <c r="I148" s="3">
        <v>46.28</v>
      </c>
      <c r="J148" s="3">
        <v>49</v>
      </c>
      <c r="K148" s="3" t="s">
        <v>27</v>
      </c>
      <c r="L148" s="3">
        <f t="shared" si="8"/>
        <v>18</v>
      </c>
      <c r="M148" s="4">
        <f t="shared" si="9"/>
        <v>3.9699999999999989</v>
      </c>
      <c r="N148" s="6">
        <f t="shared" si="10"/>
        <v>7.9004975124378082E-2</v>
      </c>
      <c r="O148" s="4">
        <f t="shared" si="11"/>
        <v>1341.8599999999997</v>
      </c>
    </row>
    <row r="149" spans="1:15" x14ac:dyDescent="0.3">
      <c r="A149" s="3" t="s">
        <v>174</v>
      </c>
      <c r="B149" s="3" t="s">
        <v>20</v>
      </c>
      <c r="C149" s="5">
        <v>44819</v>
      </c>
      <c r="D149" s="5">
        <v>44826</v>
      </c>
      <c r="E149" s="3" t="s">
        <v>13</v>
      </c>
      <c r="F149" s="3" t="s">
        <v>18</v>
      </c>
      <c r="G149" s="3">
        <v>428</v>
      </c>
      <c r="H149" s="3">
        <v>22.94</v>
      </c>
      <c r="I149" s="3">
        <v>21.52</v>
      </c>
      <c r="J149" s="3">
        <v>26</v>
      </c>
      <c r="K149" s="3" t="s">
        <v>15</v>
      </c>
      <c r="L149" s="3">
        <f t="shared" si="8"/>
        <v>7</v>
      </c>
      <c r="M149" s="4">
        <f t="shared" si="9"/>
        <v>1.4200000000000017</v>
      </c>
      <c r="N149" s="6">
        <f t="shared" si="10"/>
        <v>6.1900610287707131E-2</v>
      </c>
      <c r="O149" s="4">
        <f t="shared" si="11"/>
        <v>607.76000000000067</v>
      </c>
    </row>
    <row r="150" spans="1:15" x14ac:dyDescent="0.3">
      <c r="A150" s="3" t="s">
        <v>175</v>
      </c>
      <c r="B150" s="3" t="s">
        <v>23</v>
      </c>
      <c r="C150" s="5">
        <v>45128</v>
      </c>
      <c r="D150" s="3"/>
      <c r="E150" s="3" t="s">
        <v>24</v>
      </c>
      <c r="F150" s="3" t="s">
        <v>18</v>
      </c>
      <c r="G150" s="3">
        <v>1846</v>
      </c>
      <c r="H150" s="3">
        <v>13.72</v>
      </c>
      <c r="I150" s="3">
        <v>12.62</v>
      </c>
      <c r="J150" s="3">
        <v>216</v>
      </c>
      <c r="K150" s="3" t="s">
        <v>15</v>
      </c>
      <c r="L150" s="3" t="str">
        <f t="shared" si="8"/>
        <v/>
      </c>
      <c r="M150" s="4">
        <f t="shared" si="9"/>
        <v>1.1000000000000014</v>
      </c>
      <c r="N150" s="6">
        <f t="shared" si="10"/>
        <v>8.0174927113702721E-2</v>
      </c>
      <c r="O150" s="4">
        <f t="shared" si="11"/>
        <v>2030.6000000000026</v>
      </c>
    </row>
    <row r="151" spans="1:15" x14ac:dyDescent="0.3">
      <c r="A151" s="3" t="s">
        <v>176</v>
      </c>
      <c r="B151" s="3" t="s">
        <v>29</v>
      </c>
      <c r="C151" s="5">
        <v>44573</v>
      </c>
      <c r="D151" s="5">
        <v>44578</v>
      </c>
      <c r="E151" s="3" t="s">
        <v>13</v>
      </c>
      <c r="F151" s="3" t="s">
        <v>18</v>
      </c>
      <c r="G151" s="3">
        <v>1563</v>
      </c>
      <c r="H151" s="3">
        <v>77.959999999999994</v>
      </c>
      <c r="I151" s="3">
        <v>70.8</v>
      </c>
      <c r="J151" s="3">
        <v>41</v>
      </c>
      <c r="K151" s="3" t="s">
        <v>15</v>
      </c>
      <c r="L151" s="3">
        <f t="shared" si="8"/>
        <v>5</v>
      </c>
      <c r="M151" s="4">
        <f t="shared" si="9"/>
        <v>7.1599999999999966</v>
      </c>
      <c r="N151" s="6">
        <f t="shared" si="10"/>
        <v>9.1841970241149276E-2</v>
      </c>
      <c r="O151" s="4">
        <f t="shared" si="11"/>
        <v>11191.079999999994</v>
      </c>
    </row>
    <row r="152" spans="1:15" x14ac:dyDescent="0.3">
      <c r="A152" s="3" t="s">
        <v>177</v>
      </c>
      <c r="B152" s="3" t="s">
        <v>23</v>
      </c>
      <c r="C152" s="5">
        <v>45258</v>
      </c>
      <c r="D152" s="5">
        <v>45267</v>
      </c>
      <c r="E152" s="3" t="s">
        <v>13</v>
      </c>
      <c r="F152" s="3" t="s">
        <v>18</v>
      </c>
      <c r="G152" s="3">
        <v>280</v>
      </c>
      <c r="H152" s="3">
        <v>73.069999999999993</v>
      </c>
      <c r="I152" s="3">
        <v>69.290000000000006</v>
      </c>
      <c r="J152" s="3">
        <v>30</v>
      </c>
      <c r="K152" s="3" t="s">
        <v>15</v>
      </c>
      <c r="L152" s="3">
        <f t="shared" si="8"/>
        <v>9</v>
      </c>
      <c r="M152" s="4">
        <f t="shared" si="9"/>
        <v>3.7799999999999869</v>
      </c>
      <c r="N152" s="6">
        <f t="shared" si="10"/>
        <v>5.17312166415764E-2</v>
      </c>
      <c r="O152" s="4">
        <f t="shared" si="11"/>
        <v>1058.3999999999965</v>
      </c>
    </row>
    <row r="153" spans="1:15" x14ac:dyDescent="0.3">
      <c r="A153" s="3" t="s">
        <v>178</v>
      </c>
      <c r="B153" s="3" t="s">
        <v>17</v>
      </c>
      <c r="C153" s="5">
        <v>44679</v>
      </c>
      <c r="D153" s="5">
        <v>44693</v>
      </c>
      <c r="E153" s="3" t="s">
        <v>26</v>
      </c>
      <c r="F153" s="3" t="s">
        <v>18</v>
      </c>
      <c r="G153" s="3">
        <v>1067</v>
      </c>
      <c r="H153" s="3">
        <v>74.47</v>
      </c>
      <c r="I153" s="3">
        <v>64.16</v>
      </c>
      <c r="J153" s="3"/>
      <c r="K153" s="3" t="s">
        <v>27</v>
      </c>
      <c r="L153" s="3">
        <f t="shared" si="8"/>
        <v>14</v>
      </c>
      <c r="M153" s="4">
        <f t="shared" si="9"/>
        <v>10.310000000000002</v>
      </c>
      <c r="N153" s="6">
        <f t="shared" si="10"/>
        <v>0.13844501141399224</v>
      </c>
      <c r="O153" s="4">
        <f t="shared" si="11"/>
        <v>11000.770000000002</v>
      </c>
    </row>
    <row r="154" spans="1:15" x14ac:dyDescent="0.3">
      <c r="A154" s="3" t="s">
        <v>179</v>
      </c>
      <c r="B154" s="3" t="s">
        <v>20</v>
      </c>
      <c r="C154" s="5">
        <v>45260</v>
      </c>
      <c r="D154" s="5">
        <v>45277</v>
      </c>
      <c r="E154" s="3" t="s">
        <v>39</v>
      </c>
      <c r="F154" s="3" t="s">
        <v>35</v>
      </c>
      <c r="G154" s="3">
        <v>90</v>
      </c>
      <c r="H154" s="3">
        <v>32.380000000000003</v>
      </c>
      <c r="I154" s="3">
        <v>29.96</v>
      </c>
      <c r="J154" s="3">
        <v>7</v>
      </c>
      <c r="K154" s="3" t="s">
        <v>15</v>
      </c>
      <c r="L154" s="3">
        <f t="shared" si="8"/>
        <v>17</v>
      </c>
      <c r="M154" s="4">
        <f t="shared" si="9"/>
        <v>2.4200000000000017</v>
      </c>
      <c r="N154" s="6">
        <f t="shared" si="10"/>
        <v>7.4737492279184733E-2</v>
      </c>
      <c r="O154" s="4">
        <f t="shared" si="11"/>
        <v>217.80000000000015</v>
      </c>
    </row>
    <row r="155" spans="1:15" x14ac:dyDescent="0.3">
      <c r="A155" s="3" t="s">
        <v>180</v>
      </c>
      <c r="B155" s="3" t="s">
        <v>20</v>
      </c>
      <c r="C155" s="5">
        <v>45111</v>
      </c>
      <c r="D155" s="5">
        <v>45112</v>
      </c>
      <c r="E155" s="3" t="s">
        <v>26</v>
      </c>
      <c r="F155" s="3" t="s">
        <v>18</v>
      </c>
      <c r="G155" s="3">
        <v>1101</v>
      </c>
      <c r="H155" s="3">
        <v>24.28</v>
      </c>
      <c r="I155" s="3">
        <v>22.73</v>
      </c>
      <c r="J155" s="3">
        <v>59</v>
      </c>
      <c r="K155" s="3" t="s">
        <v>27</v>
      </c>
      <c r="L155" s="3">
        <f t="shared" si="8"/>
        <v>1</v>
      </c>
      <c r="M155" s="4">
        <f t="shared" si="9"/>
        <v>1.5500000000000007</v>
      </c>
      <c r="N155" s="6">
        <f t="shared" si="10"/>
        <v>6.3838550247117001E-2</v>
      </c>
      <c r="O155" s="4">
        <f t="shared" si="11"/>
        <v>1706.5500000000009</v>
      </c>
    </row>
    <row r="156" spans="1:15" x14ac:dyDescent="0.3">
      <c r="A156" s="3" t="s">
        <v>181</v>
      </c>
      <c r="B156" s="3" t="s">
        <v>12</v>
      </c>
      <c r="C156" s="5">
        <v>44835</v>
      </c>
      <c r="D156" s="5">
        <v>44845</v>
      </c>
      <c r="E156" s="3" t="s">
        <v>26</v>
      </c>
      <c r="F156" s="3" t="s">
        <v>18</v>
      </c>
      <c r="G156" s="3">
        <v>184</v>
      </c>
      <c r="H156" s="3">
        <v>11.82</v>
      </c>
      <c r="I156" s="3">
        <v>10.51</v>
      </c>
      <c r="J156" s="3">
        <v>4</v>
      </c>
      <c r="K156" s="3" t="s">
        <v>15</v>
      </c>
      <c r="L156" s="3">
        <f t="shared" si="8"/>
        <v>10</v>
      </c>
      <c r="M156" s="4">
        <f t="shared" si="9"/>
        <v>1.3100000000000005</v>
      </c>
      <c r="N156" s="6">
        <f t="shared" si="10"/>
        <v>0.11082910321489006</v>
      </c>
      <c r="O156" s="4">
        <f t="shared" si="11"/>
        <v>241.04000000000008</v>
      </c>
    </row>
    <row r="157" spans="1:15" x14ac:dyDescent="0.3">
      <c r="A157" s="3" t="s">
        <v>182</v>
      </c>
      <c r="B157" s="3" t="s">
        <v>29</v>
      </c>
      <c r="C157" s="5">
        <v>45218</v>
      </c>
      <c r="D157" s="5">
        <v>45237</v>
      </c>
      <c r="E157" s="3" t="s">
        <v>39</v>
      </c>
      <c r="F157" s="3" t="s">
        <v>18</v>
      </c>
      <c r="G157" s="3">
        <v>250</v>
      </c>
      <c r="H157" s="3">
        <v>45.92</v>
      </c>
      <c r="I157" s="3">
        <v>41.02</v>
      </c>
      <c r="J157" s="3">
        <v>3</v>
      </c>
      <c r="K157" s="3" t="s">
        <v>15</v>
      </c>
      <c r="L157" s="3">
        <f t="shared" si="8"/>
        <v>19</v>
      </c>
      <c r="M157" s="4">
        <f t="shared" si="9"/>
        <v>4.8999999999999986</v>
      </c>
      <c r="N157" s="6">
        <f t="shared" si="10"/>
        <v>0.1067073170731707</v>
      </c>
      <c r="O157" s="4">
        <f t="shared" si="11"/>
        <v>1224.9999999999995</v>
      </c>
    </row>
    <row r="158" spans="1:15" x14ac:dyDescent="0.3">
      <c r="A158" s="3" t="s">
        <v>183</v>
      </c>
      <c r="B158" s="3" t="s">
        <v>29</v>
      </c>
      <c r="C158" s="5">
        <v>44910</v>
      </c>
      <c r="D158" s="3"/>
      <c r="E158" s="3" t="s">
        <v>24</v>
      </c>
      <c r="F158" s="3" t="s">
        <v>14</v>
      </c>
      <c r="G158" s="3">
        <v>1913</v>
      </c>
      <c r="H158" s="3">
        <v>66.56</v>
      </c>
      <c r="I158" s="3">
        <v>61.34</v>
      </c>
      <c r="J158" s="3">
        <v>61</v>
      </c>
      <c r="K158" s="3" t="s">
        <v>15</v>
      </c>
      <c r="L158" s="3" t="str">
        <f t="shared" si="8"/>
        <v/>
      </c>
      <c r="M158" s="4">
        <f t="shared" si="9"/>
        <v>5.2199999999999989</v>
      </c>
      <c r="N158" s="6">
        <f t="shared" si="10"/>
        <v>7.8425480769230754E-2</v>
      </c>
      <c r="O158" s="4">
        <f t="shared" si="11"/>
        <v>9985.8599999999969</v>
      </c>
    </row>
    <row r="159" spans="1:15" x14ac:dyDescent="0.3">
      <c r="A159" s="3" t="s">
        <v>184</v>
      </c>
      <c r="B159" s="3" t="s">
        <v>23</v>
      </c>
      <c r="C159" s="5">
        <v>44676</v>
      </c>
      <c r="D159" s="5">
        <v>44681</v>
      </c>
      <c r="E159" s="3" t="s">
        <v>39</v>
      </c>
      <c r="F159" s="3" t="s">
        <v>18</v>
      </c>
      <c r="G159" s="3">
        <v>829</v>
      </c>
      <c r="H159" s="3">
        <v>45.98</v>
      </c>
      <c r="I159" s="3">
        <v>40.39</v>
      </c>
      <c r="J159" s="3"/>
      <c r="K159" s="3" t="s">
        <v>15</v>
      </c>
      <c r="L159" s="3">
        <f t="shared" si="8"/>
        <v>5</v>
      </c>
      <c r="M159" s="4">
        <f t="shared" si="9"/>
        <v>5.5899999999999963</v>
      </c>
      <c r="N159" s="6">
        <f t="shared" si="10"/>
        <v>0.1215745976511526</v>
      </c>
      <c r="O159" s="4">
        <f t="shared" si="11"/>
        <v>4634.1099999999969</v>
      </c>
    </row>
    <row r="160" spans="1:15" x14ac:dyDescent="0.3">
      <c r="A160" s="3" t="s">
        <v>185</v>
      </c>
      <c r="B160" s="3" t="s">
        <v>17</v>
      </c>
      <c r="C160" s="5">
        <v>44862</v>
      </c>
      <c r="D160" s="5">
        <v>44878</v>
      </c>
      <c r="E160" s="3" t="s">
        <v>26</v>
      </c>
      <c r="F160" s="3" t="s">
        <v>18</v>
      </c>
      <c r="G160" s="3">
        <v>979</v>
      </c>
      <c r="H160" s="3">
        <v>51.59</v>
      </c>
      <c r="I160" s="3">
        <v>49.69</v>
      </c>
      <c r="J160" s="3">
        <v>148</v>
      </c>
      <c r="K160" s="3" t="s">
        <v>15</v>
      </c>
      <c r="L160" s="3">
        <f t="shared" si="8"/>
        <v>16</v>
      </c>
      <c r="M160" s="4">
        <f t="shared" si="9"/>
        <v>1.9000000000000057</v>
      </c>
      <c r="N160" s="6">
        <f t="shared" si="10"/>
        <v>3.6828842798992158E-2</v>
      </c>
      <c r="O160" s="4">
        <f t="shared" si="11"/>
        <v>1860.1000000000056</v>
      </c>
    </row>
    <row r="161" spans="1:15" x14ac:dyDescent="0.3">
      <c r="A161" s="3" t="s">
        <v>186</v>
      </c>
      <c r="B161" s="3" t="s">
        <v>29</v>
      </c>
      <c r="C161" s="5">
        <v>45007</v>
      </c>
      <c r="D161" s="5">
        <v>45025</v>
      </c>
      <c r="E161" s="3" t="s">
        <v>39</v>
      </c>
      <c r="F161" s="3" t="s">
        <v>33</v>
      </c>
      <c r="G161" s="3">
        <v>1106</v>
      </c>
      <c r="H161" s="3">
        <v>97.77</v>
      </c>
      <c r="I161" s="3">
        <v>90.45</v>
      </c>
      <c r="J161" s="3">
        <v>31</v>
      </c>
      <c r="K161" s="3" t="s">
        <v>15</v>
      </c>
      <c r="L161" s="3">
        <f t="shared" si="8"/>
        <v>18</v>
      </c>
      <c r="M161" s="4">
        <f t="shared" si="9"/>
        <v>7.3199999999999932</v>
      </c>
      <c r="N161" s="6">
        <f t="shared" si="10"/>
        <v>7.4869591899355561E-2</v>
      </c>
      <c r="O161" s="4">
        <f t="shared" si="11"/>
        <v>8095.9199999999928</v>
      </c>
    </row>
    <row r="162" spans="1:15" x14ac:dyDescent="0.3">
      <c r="A162" s="3" t="s">
        <v>187</v>
      </c>
      <c r="B162" s="3" t="s">
        <v>17</v>
      </c>
      <c r="C162" s="5">
        <v>44723</v>
      </c>
      <c r="D162" s="5">
        <v>44736</v>
      </c>
      <c r="E162" s="3" t="s">
        <v>13</v>
      </c>
      <c r="F162" s="3" t="s">
        <v>35</v>
      </c>
      <c r="G162" s="3">
        <v>1121</v>
      </c>
      <c r="H162" s="3">
        <v>42.38</v>
      </c>
      <c r="I162" s="3">
        <v>38.340000000000003</v>
      </c>
      <c r="J162" s="3">
        <v>152</v>
      </c>
      <c r="K162" s="3" t="s">
        <v>15</v>
      </c>
      <c r="L162" s="3">
        <f t="shared" si="8"/>
        <v>13</v>
      </c>
      <c r="M162" s="4">
        <f t="shared" si="9"/>
        <v>4.0399999999999991</v>
      </c>
      <c r="N162" s="6">
        <f t="shared" si="10"/>
        <v>9.5327984898537013E-2</v>
      </c>
      <c r="O162" s="4">
        <f t="shared" si="11"/>
        <v>4528.8399999999992</v>
      </c>
    </row>
    <row r="163" spans="1:15" x14ac:dyDescent="0.3">
      <c r="A163" s="3" t="s">
        <v>188</v>
      </c>
      <c r="B163" s="3" t="s">
        <v>12</v>
      </c>
      <c r="C163" s="5">
        <v>45026</v>
      </c>
      <c r="D163" s="5">
        <v>45037</v>
      </c>
      <c r="E163" s="3" t="s">
        <v>13</v>
      </c>
      <c r="F163" s="3" t="s">
        <v>18</v>
      </c>
      <c r="G163" s="3">
        <v>552</v>
      </c>
      <c r="H163" s="3">
        <v>60.48</v>
      </c>
      <c r="I163" s="3">
        <v>56.78</v>
      </c>
      <c r="J163" s="3">
        <v>10</v>
      </c>
      <c r="K163" s="3" t="s">
        <v>15</v>
      </c>
      <c r="L163" s="3">
        <f t="shared" si="8"/>
        <v>11</v>
      </c>
      <c r="M163" s="4">
        <f t="shared" si="9"/>
        <v>3.6999999999999957</v>
      </c>
      <c r="N163" s="6">
        <f t="shared" si="10"/>
        <v>6.1177248677248608E-2</v>
      </c>
      <c r="O163" s="4">
        <f t="shared" si="11"/>
        <v>2042.3999999999976</v>
      </c>
    </row>
    <row r="164" spans="1:15" x14ac:dyDescent="0.3">
      <c r="A164" s="3" t="s">
        <v>189</v>
      </c>
      <c r="B164" s="3" t="s">
        <v>20</v>
      </c>
      <c r="C164" s="5">
        <v>44565</v>
      </c>
      <c r="D164" s="5">
        <v>44573</v>
      </c>
      <c r="E164" s="3" t="s">
        <v>24</v>
      </c>
      <c r="F164" s="3" t="s">
        <v>18</v>
      </c>
      <c r="G164" s="3">
        <v>456</v>
      </c>
      <c r="H164" s="3">
        <v>80.53</v>
      </c>
      <c r="I164" s="3">
        <v>77.86</v>
      </c>
      <c r="J164" s="3">
        <v>26</v>
      </c>
      <c r="K164" s="3" t="s">
        <v>15</v>
      </c>
      <c r="L164" s="3">
        <f t="shared" si="8"/>
        <v>8</v>
      </c>
      <c r="M164" s="4">
        <f t="shared" si="9"/>
        <v>2.6700000000000017</v>
      </c>
      <c r="N164" s="6">
        <f t="shared" si="10"/>
        <v>3.3155345833850762E-2</v>
      </c>
      <c r="O164" s="4">
        <f t="shared" si="11"/>
        <v>1217.5200000000009</v>
      </c>
    </row>
    <row r="165" spans="1:15" x14ac:dyDescent="0.3">
      <c r="A165" s="3" t="s">
        <v>190</v>
      </c>
      <c r="B165" s="3" t="s">
        <v>17</v>
      </c>
      <c r="C165" s="5">
        <v>44831</v>
      </c>
      <c r="D165" s="5">
        <v>44839</v>
      </c>
      <c r="E165" s="3" t="s">
        <v>24</v>
      </c>
      <c r="F165" s="3" t="s">
        <v>18</v>
      </c>
      <c r="G165" s="3">
        <v>1647</v>
      </c>
      <c r="H165" s="3">
        <v>47.52</v>
      </c>
      <c r="I165" s="3">
        <v>44.92</v>
      </c>
      <c r="J165" s="3"/>
      <c r="K165" s="3" t="s">
        <v>15</v>
      </c>
      <c r="L165" s="3">
        <f t="shared" si="8"/>
        <v>8</v>
      </c>
      <c r="M165" s="4">
        <f t="shared" si="9"/>
        <v>2.6000000000000014</v>
      </c>
      <c r="N165" s="6">
        <f t="shared" si="10"/>
        <v>5.4713804713804742E-2</v>
      </c>
      <c r="O165" s="4">
        <f t="shared" si="11"/>
        <v>4282.2000000000025</v>
      </c>
    </row>
    <row r="166" spans="1:15" x14ac:dyDescent="0.3">
      <c r="A166" s="3" t="s">
        <v>191</v>
      </c>
      <c r="B166" s="3" t="s">
        <v>29</v>
      </c>
      <c r="C166" s="5">
        <v>45074</v>
      </c>
      <c r="D166" s="5">
        <v>45088</v>
      </c>
      <c r="E166" s="3" t="s">
        <v>39</v>
      </c>
      <c r="F166" s="3" t="s">
        <v>35</v>
      </c>
      <c r="G166" s="3">
        <v>1801</v>
      </c>
      <c r="H166" s="3">
        <v>71.27</v>
      </c>
      <c r="I166" s="3">
        <v>61.24</v>
      </c>
      <c r="J166" s="3">
        <v>43</v>
      </c>
      <c r="K166" s="3" t="s">
        <v>15</v>
      </c>
      <c r="L166" s="3">
        <f t="shared" si="8"/>
        <v>14</v>
      </c>
      <c r="M166" s="4">
        <f t="shared" si="9"/>
        <v>10.029999999999994</v>
      </c>
      <c r="N166" s="6">
        <f t="shared" si="10"/>
        <v>0.14073242598568816</v>
      </c>
      <c r="O166" s="4">
        <f t="shared" si="11"/>
        <v>18064.029999999988</v>
      </c>
    </row>
    <row r="167" spans="1:15" x14ac:dyDescent="0.3">
      <c r="A167" s="3" t="s">
        <v>192</v>
      </c>
      <c r="B167" s="3" t="s">
        <v>20</v>
      </c>
      <c r="C167" s="5">
        <v>44744</v>
      </c>
      <c r="D167" s="5">
        <v>44760</v>
      </c>
      <c r="E167" s="3" t="s">
        <v>39</v>
      </c>
      <c r="F167" s="3" t="s">
        <v>18</v>
      </c>
      <c r="G167" s="3">
        <v>854</v>
      </c>
      <c r="H167" s="3">
        <v>90.24</v>
      </c>
      <c r="I167" s="3">
        <v>85.53</v>
      </c>
      <c r="J167" s="3"/>
      <c r="K167" s="3" t="s">
        <v>15</v>
      </c>
      <c r="L167" s="3">
        <f t="shared" si="8"/>
        <v>16</v>
      </c>
      <c r="M167" s="4">
        <f t="shared" si="9"/>
        <v>4.7099999999999937</v>
      </c>
      <c r="N167" s="6">
        <f t="shared" si="10"/>
        <v>5.2194148936170144E-2</v>
      </c>
      <c r="O167" s="4">
        <f t="shared" si="11"/>
        <v>4022.3399999999947</v>
      </c>
    </row>
    <row r="168" spans="1:15" x14ac:dyDescent="0.3">
      <c r="A168" s="3" t="s">
        <v>193</v>
      </c>
      <c r="B168" s="3" t="s">
        <v>17</v>
      </c>
      <c r="C168" s="5">
        <v>45081</v>
      </c>
      <c r="D168" s="5">
        <v>45094</v>
      </c>
      <c r="E168" s="3" t="s">
        <v>39</v>
      </c>
      <c r="F168" s="3" t="s">
        <v>18</v>
      </c>
      <c r="G168" s="3">
        <v>148</v>
      </c>
      <c r="H168" s="3">
        <v>103.57</v>
      </c>
      <c r="I168" s="3">
        <v>98.62</v>
      </c>
      <c r="J168" s="3">
        <v>23</v>
      </c>
      <c r="K168" s="3" t="s">
        <v>27</v>
      </c>
      <c r="L168" s="3">
        <f t="shared" si="8"/>
        <v>13</v>
      </c>
      <c r="M168" s="4">
        <f t="shared" si="9"/>
        <v>4.9499999999999886</v>
      </c>
      <c r="N168" s="6">
        <f t="shared" si="10"/>
        <v>4.7793762672588481E-2</v>
      </c>
      <c r="O168" s="4">
        <f t="shared" si="11"/>
        <v>732.59999999999832</v>
      </c>
    </row>
    <row r="169" spans="1:15" x14ac:dyDescent="0.3">
      <c r="A169" s="3" t="s">
        <v>194</v>
      </c>
      <c r="B169" s="3" t="s">
        <v>17</v>
      </c>
      <c r="C169" s="5">
        <v>44670</v>
      </c>
      <c r="D169" s="5">
        <v>44675</v>
      </c>
      <c r="E169" s="3" t="s">
        <v>21</v>
      </c>
      <c r="F169" s="3" t="s">
        <v>18</v>
      </c>
      <c r="G169" s="3">
        <v>733</v>
      </c>
      <c r="H169" s="3">
        <v>23.59</v>
      </c>
      <c r="I169" s="3">
        <v>22.85</v>
      </c>
      <c r="J169" s="3">
        <v>92</v>
      </c>
      <c r="K169" s="3" t="s">
        <v>15</v>
      </c>
      <c r="L169" s="3">
        <f t="shared" si="8"/>
        <v>5</v>
      </c>
      <c r="M169" s="4">
        <f t="shared" si="9"/>
        <v>0.73999999999999844</v>
      </c>
      <c r="N169" s="6">
        <f t="shared" si="10"/>
        <v>3.1369224247562458E-2</v>
      </c>
      <c r="O169" s="4">
        <f t="shared" si="11"/>
        <v>542.41999999999882</v>
      </c>
    </row>
    <row r="170" spans="1:15" x14ac:dyDescent="0.3">
      <c r="A170" s="3" t="s">
        <v>195</v>
      </c>
      <c r="B170" s="3" t="s">
        <v>23</v>
      </c>
      <c r="C170" s="5">
        <v>45202</v>
      </c>
      <c r="D170" s="5">
        <v>45204</v>
      </c>
      <c r="E170" s="3" t="s">
        <v>26</v>
      </c>
      <c r="F170" s="3" t="s">
        <v>18</v>
      </c>
      <c r="G170" s="3">
        <v>1945</v>
      </c>
      <c r="H170" s="3">
        <v>103.2</v>
      </c>
      <c r="I170" s="3">
        <v>88.56</v>
      </c>
      <c r="J170" s="3"/>
      <c r="K170" s="3" t="s">
        <v>15</v>
      </c>
      <c r="L170" s="3">
        <f t="shared" si="8"/>
        <v>2</v>
      </c>
      <c r="M170" s="4">
        <f t="shared" si="9"/>
        <v>14.64</v>
      </c>
      <c r="N170" s="6">
        <f t="shared" si="10"/>
        <v>0.14186046511627906</v>
      </c>
      <c r="O170" s="4">
        <f t="shared" si="11"/>
        <v>28474.800000000003</v>
      </c>
    </row>
    <row r="171" spans="1:15" x14ac:dyDescent="0.3">
      <c r="A171" s="3" t="s">
        <v>196</v>
      </c>
      <c r="B171" s="3" t="s">
        <v>20</v>
      </c>
      <c r="C171" s="5">
        <v>44867</v>
      </c>
      <c r="D171" s="5">
        <v>44886</v>
      </c>
      <c r="E171" s="3" t="s">
        <v>26</v>
      </c>
      <c r="F171" s="3" t="s">
        <v>18</v>
      </c>
      <c r="G171" s="3">
        <v>775</v>
      </c>
      <c r="H171" s="3">
        <v>57</v>
      </c>
      <c r="I171" s="3">
        <v>49.14</v>
      </c>
      <c r="J171" s="3">
        <v>48</v>
      </c>
      <c r="K171" s="3" t="s">
        <v>15</v>
      </c>
      <c r="L171" s="3">
        <f t="shared" si="8"/>
        <v>19</v>
      </c>
      <c r="M171" s="4">
        <f t="shared" si="9"/>
        <v>7.8599999999999994</v>
      </c>
      <c r="N171" s="6">
        <f t="shared" si="10"/>
        <v>0.13789473684210526</v>
      </c>
      <c r="O171" s="4">
        <f t="shared" si="11"/>
        <v>6091.5</v>
      </c>
    </row>
    <row r="172" spans="1:15" x14ac:dyDescent="0.3">
      <c r="A172" s="3" t="s">
        <v>197</v>
      </c>
      <c r="B172" s="3" t="s">
        <v>17</v>
      </c>
      <c r="C172" s="5">
        <v>45216</v>
      </c>
      <c r="D172" s="5">
        <v>45220</v>
      </c>
      <c r="E172" s="3" t="s">
        <v>24</v>
      </c>
      <c r="F172" s="3" t="s">
        <v>18</v>
      </c>
      <c r="G172" s="3">
        <v>1620</v>
      </c>
      <c r="H172" s="3">
        <v>36.729999999999997</v>
      </c>
      <c r="I172" s="3">
        <v>33.450000000000003</v>
      </c>
      <c r="J172" s="3">
        <v>235</v>
      </c>
      <c r="K172" s="3" t="s">
        <v>27</v>
      </c>
      <c r="L172" s="3">
        <f t="shared" si="8"/>
        <v>4</v>
      </c>
      <c r="M172" s="4">
        <f t="shared" si="9"/>
        <v>3.279999999999994</v>
      </c>
      <c r="N172" s="6">
        <f t="shared" si="10"/>
        <v>8.9300299482711523E-2</v>
      </c>
      <c r="O172" s="4">
        <f t="shared" si="11"/>
        <v>5313.5999999999904</v>
      </c>
    </row>
    <row r="173" spans="1:15" x14ac:dyDescent="0.3">
      <c r="A173" s="3" t="s">
        <v>198</v>
      </c>
      <c r="B173" s="3" t="s">
        <v>23</v>
      </c>
      <c r="C173" s="5">
        <v>45081</v>
      </c>
      <c r="D173" s="5">
        <v>45096</v>
      </c>
      <c r="E173" s="3" t="s">
        <v>13</v>
      </c>
      <c r="F173" s="3" t="s">
        <v>18</v>
      </c>
      <c r="G173" s="3">
        <v>1010</v>
      </c>
      <c r="H173" s="3">
        <v>55.68</v>
      </c>
      <c r="I173" s="3">
        <v>50.86</v>
      </c>
      <c r="J173" s="3"/>
      <c r="K173" s="3" t="s">
        <v>15</v>
      </c>
      <c r="L173" s="3">
        <f t="shared" si="8"/>
        <v>15</v>
      </c>
      <c r="M173" s="4">
        <f t="shared" si="9"/>
        <v>4.82</v>
      </c>
      <c r="N173" s="6">
        <f t="shared" si="10"/>
        <v>8.6566091954022997E-2</v>
      </c>
      <c r="O173" s="4">
        <f t="shared" si="11"/>
        <v>4868.2000000000007</v>
      </c>
    </row>
    <row r="174" spans="1:15" x14ac:dyDescent="0.3">
      <c r="A174" s="3" t="s">
        <v>199</v>
      </c>
      <c r="B174" s="3" t="s">
        <v>29</v>
      </c>
      <c r="C174" s="5">
        <v>45185</v>
      </c>
      <c r="D174" s="5">
        <v>45200</v>
      </c>
      <c r="E174" s="3" t="s">
        <v>13</v>
      </c>
      <c r="F174" s="3" t="s">
        <v>18</v>
      </c>
      <c r="G174" s="3">
        <v>1812</v>
      </c>
      <c r="H174" s="3">
        <v>108.02</v>
      </c>
      <c r="I174" s="3">
        <v>101.02</v>
      </c>
      <c r="J174" s="3">
        <v>51</v>
      </c>
      <c r="K174" s="3" t="s">
        <v>15</v>
      </c>
      <c r="L174" s="3">
        <f t="shared" si="8"/>
        <v>15</v>
      </c>
      <c r="M174" s="4">
        <f t="shared" si="9"/>
        <v>7</v>
      </c>
      <c r="N174" s="6">
        <f t="shared" si="10"/>
        <v>6.4802814293649327E-2</v>
      </c>
      <c r="O174" s="4">
        <f t="shared" si="11"/>
        <v>12684</v>
      </c>
    </row>
    <row r="175" spans="1:15" x14ac:dyDescent="0.3">
      <c r="A175" s="3" t="s">
        <v>200</v>
      </c>
      <c r="B175" s="3" t="s">
        <v>17</v>
      </c>
      <c r="C175" s="5">
        <v>44765</v>
      </c>
      <c r="D175" s="5">
        <v>44770</v>
      </c>
      <c r="E175" s="3" t="s">
        <v>13</v>
      </c>
      <c r="F175" s="3" t="s">
        <v>18</v>
      </c>
      <c r="G175" s="3">
        <v>662</v>
      </c>
      <c r="H175" s="3">
        <v>55.97</v>
      </c>
      <c r="I175" s="3">
        <v>50</v>
      </c>
      <c r="J175" s="3">
        <v>100</v>
      </c>
      <c r="K175" s="3" t="s">
        <v>15</v>
      </c>
      <c r="L175" s="3">
        <f t="shared" si="8"/>
        <v>5</v>
      </c>
      <c r="M175" s="4">
        <f t="shared" si="9"/>
        <v>5.9699999999999989</v>
      </c>
      <c r="N175" s="6">
        <f t="shared" si="10"/>
        <v>0.10666428443809181</v>
      </c>
      <c r="O175" s="4">
        <f t="shared" si="11"/>
        <v>3952.1399999999994</v>
      </c>
    </row>
    <row r="176" spans="1:15" x14ac:dyDescent="0.3">
      <c r="A176" s="3" t="s">
        <v>201</v>
      </c>
      <c r="B176" s="3" t="s">
        <v>23</v>
      </c>
      <c r="C176" s="5">
        <v>44718</v>
      </c>
      <c r="D176" s="5">
        <v>44723</v>
      </c>
      <c r="E176" s="3" t="s">
        <v>13</v>
      </c>
      <c r="F176" s="3" t="s">
        <v>35</v>
      </c>
      <c r="G176" s="3">
        <v>1535</v>
      </c>
      <c r="H176" s="3">
        <v>40.58</v>
      </c>
      <c r="I176" s="3">
        <v>38.71</v>
      </c>
      <c r="J176" s="3">
        <v>165</v>
      </c>
      <c r="K176" s="3" t="s">
        <v>15</v>
      </c>
      <c r="L176" s="3">
        <f t="shared" si="8"/>
        <v>5</v>
      </c>
      <c r="M176" s="4">
        <f t="shared" si="9"/>
        <v>1.8699999999999974</v>
      </c>
      <c r="N176" s="6">
        <f t="shared" si="10"/>
        <v>4.6081813701330646E-2</v>
      </c>
      <c r="O176" s="4">
        <f t="shared" si="11"/>
        <v>2870.4499999999962</v>
      </c>
    </row>
    <row r="177" spans="1:15" x14ac:dyDescent="0.3">
      <c r="A177" s="3" t="s">
        <v>202</v>
      </c>
      <c r="B177" s="3" t="s">
        <v>23</v>
      </c>
      <c r="C177" s="5">
        <v>44944</v>
      </c>
      <c r="D177" s="5">
        <v>44953</v>
      </c>
      <c r="E177" s="3" t="s">
        <v>26</v>
      </c>
      <c r="F177" s="3" t="s">
        <v>18</v>
      </c>
      <c r="G177" s="3">
        <v>692</v>
      </c>
      <c r="H177" s="3">
        <v>71.03</v>
      </c>
      <c r="I177" s="3">
        <v>67.739999999999995</v>
      </c>
      <c r="J177" s="3">
        <v>70</v>
      </c>
      <c r="K177" s="3" t="s">
        <v>15</v>
      </c>
      <c r="L177" s="3">
        <f t="shared" si="8"/>
        <v>9</v>
      </c>
      <c r="M177" s="4">
        <f t="shared" si="9"/>
        <v>3.2900000000000063</v>
      </c>
      <c r="N177" s="6">
        <f t="shared" si="10"/>
        <v>4.6318456990004309E-2</v>
      </c>
      <c r="O177" s="4">
        <f t="shared" si="11"/>
        <v>2276.6800000000044</v>
      </c>
    </row>
    <row r="178" spans="1:15" x14ac:dyDescent="0.3">
      <c r="A178" s="3" t="s">
        <v>203</v>
      </c>
      <c r="B178" s="3" t="s">
        <v>20</v>
      </c>
      <c r="C178" s="5">
        <v>44727</v>
      </c>
      <c r="D178" s="5">
        <v>44740</v>
      </c>
      <c r="E178" s="3" t="s">
        <v>21</v>
      </c>
      <c r="F178" s="3" t="s">
        <v>18</v>
      </c>
      <c r="G178" s="3">
        <v>1842</v>
      </c>
      <c r="H178" s="3">
        <v>32.4</v>
      </c>
      <c r="I178" s="3">
        <v>28.08</v>
      </c>
      <c r="J178" s="3">
        <v>96</v>
      </c>
      <c r="K178" s="3" t="s">
        <v>15</v>
      </c>
      <c r="L178" s="3">
        <f t="shared" si="8"/>
        <v>13</v>
      </c>
      <c r="M178" s="4">
        <f t="shared" si="9"/>
        <v>4.32</v>
      </c>
      <c r="N178" s="6">
        <f t="shared" si="10"/>
        <v>0.13333333333333336</v>
      </c>
      <c r="O178" s="4">
        <f t="shared" si="11"/>
        <v>7957.4400000000005</v>
      </c>
    </row>
    <row r="179" spans="1:15" x14ac:dyDescent="0.3">
      <c r="A179" s="3" t="s">
        <v>204</v>
      </c>
      <c r="B179" s="3" t="s">
        <v>23</v>
      </c>
      <c r="C179" s="5">
        <v>45114</v>
      </c>
      <c r="D179" s="5">
        <v>45125</v>
      </c>
      <c r="E179" s="3" t="s">
        <v>13</v>
      </c>
      <c r="F179" s="3" t="s">
        <v>14</v>
      </c>
      <c r="G179" s="3">
        <v>1078</v>
      </c>
      <c r="H179" s="3">
        <v>18.34</v>
      </c>
      <c r="I179" s="3">
        <v>17.41</v>
      </c>
      <c r="J179" s="3">
        <v>102</v>
      </c>
      <c r="K179" s="3" t="s">
        <v>15</v>
      </c>
      <c r="L179" s="3">
        <f t="shared" si="8"/>
        <v>11</v>
      </c>
      <c r="M179" s="4">
        <f t="shared" si="9"/>
        <v>0.92999999999999972</v>
      </c>
      <c r="N179" s="6">
        <f t="shared" si="10"/>
        <v>5.0708833151581229E-2</v>
      </c>
      <c r="O179" s="4">
        <f t="shared" si="11"/>
        <v>1002.5399999999997</v>
      </c>
    </row>
    <row r="180" spans="1:15" x14ac:dyDescent="0.3">
      <c r="A180" s="3" t="s">
        <v>205</v>
      </c>
      <c r="B180" s="3" t="s">
        <v>17</v>
      </c>
      <c r="C180" s="5">
        <v>45105</v>
      </c>
      <c r="D180" s="5">
        <v>45123</v>
      </c>
      <c r="E180" s="3" t="s">
        <v>24</v>
      </c>
      <c r="F180" s="3" t="s">
        <v>18</v>
      </c>
      <c r="G180" s="3">
        <v>1291</v>
      </c>
      <c r="H180" s="3">
        <v>23.44</v>
      </c>
      <c r="I180" s="3">
        <v>22.23</v>
      </c>
      <c r="J180" s="3"/>
      <c r="K180" s="3" t="s">
        <v>15</v>
      </c>
      <c r="L180" s="3">
        <f t="shared" si="8"/>
        <v>18</v>
      </c>
      <c r="M180" s="4">
        <f t="shared" si="9"/>
        <v>1.2100000000000009</v>
      </c>
      <c r="N180" s="6">
        <f t="shared" si="10"/>
        <v>5.1621160409556346E-2</v>
      </c>
      <c r="O180" s="4">
        <f t="shared" si="11"/>
        <v>1562.110000000001</v>
      </c>
    </row>
    <row r="181" spans="1:15" x14ac:dyDescent="0.3">
      <c r="A181" s="3" t="s">
        <v>206</v>
      </c>
      <c r="B181" s="3" t="s">
        <v>12</v>
      </c>
      <c r="C181" s="5">
        <v>44562</v>
      </c>
      <c r="D181" s="5">
        <v>44573</v>
      </c>
      <c r="E181" s="3" t="s">
        <v>39</v>
      </c>
      <c r="F181" s="3" t="s">
        <v>18</v>
      </c>
      <c r="G181" s="3">
        <v>552</v>
      </c>
      <c r="H181" s="3">
        <v>21.52</v>
      </c>
      <c r="I181" s="3">
        <v>18.79</v>
      </c>
      <c r="J181" s="3">
        <v>13</v>
      </c>
      <c r="K181" s="3" t="s">
        <v>15</v>
      </c>
      <c r="L181" s="3">
        <f t="shared" si="8"/>
        <v>11</v>
      </c>
      <c r="M181" s="4">
        <f t="shared" si="9"/>
        <v>2.7300000000000004</v>
      </c>
      <c r="N181" s="6">
        <f t="shared" si="10"/>
        <v>0.12685873605947959</v>
      </c>
      <c r="O181" s="4">
        <f t="shared" si="11"/>
        <v>1506.9600000000003</v>
      </c>
    </row>
    <row r="182" spans="1:15" x14ac:dyDescent="0.3">
      <c r="A182" s="3" t="s">
        <v>207</v>
      </c>
      <c r="B182" s="3" t="s">
        <v>29</v>
      </c>
      <c r="C182" s="5">
        <v>45175</v>
      </c>
      <c r="D182" s="5">
        <v>45191</v>
      </c>
      <c r="E182" s="3" t="s">
        <v>39</v>
      </c>
      <c r="F182" s="3" t="s">
        <v>18</v>
      </c>
      <c r="G182" s="3">
        <v>816</v>
      </c>
      <c r="H182" s="3">
        <v>26.04</v>
      </c>
      <c r="I182" s="3">
        <v>25.61</v>
      </c>
      <c r="J182" s="3">
        <v>28</v>
      </c>
      <c r="K182" s="3" t="s">
        <v>15</v>
      </c>
      <c r="L182" s="3">
        <f t="shared" si="8"/>
        <v>16</v>
      </c>
      <c r="M182" s="4">
        <f t="shared" si="9"/>
        <v>0.42999999999999972</v>
      </c>
      <c r="N182" s="6">
        <f t="shared" si="10"/>
        <v>1.6513056835637471E-2</v>
      </c>
      <c r="O182" s="4">
        <f t="shared" si="11"/>
        <v>350.87999999999977</v>
      </c>
    </row>
    <row r="183" spans="1:15" x14ac:dyDescent="0.3">
      <c r="A183" s="3" t="s">
        <v>208</v>
      </c>
      <c r="B183" s="3" t="s">
        <v>17</v>
      </c>
      <c r="C183" s="5">
        <v>44893</v>
      </c>
      <c r="D183" s="5">
        <v>44895</v>
      </c>
      <c r="E183" s="3" t="s">
        <v>24</v>
      </c>
      <c r="F183" s="3" t="s">
        <v>18</v>
      </c>
      <c r="G183" s="3">
        <v>447</v>
      </c>
      <c r="H183" s="3">
        <v>23.62</v>
      </c>
      <c r="I183" s="3">
        <v>21.81</v>
      </c>
      <c r="J183" s="3">
        <v>50</v>
      </c>
      <c r="K183" s="3" t="s">
        <v>15</v>
      </c>
      <c r="L183" s="3">
        <f t="shared" si="8"/>
        <v>2</v>
      </c>
      <c r="M183" s="4">
        <f t="shared" si="9"/>
        <v>1.8100000000000023</v>
      </c>
      <c r="N183" s="6">
        <f t="shared" si="10"/>
        <v>7.6629974597798564E-2</v>
      </c>
      <c r="O183" s="4">
        <f t="shared" si="11"/>
        <v>809.07000000000107</v>
      </c>
    </row>
    <row r="184" spans="1:15" x14ac:dyDescent="0.3">
      <c r="A184" s="3" t="s">
        <v>209</v>
      </c>
      <c r="B184" s="3" t="s">
        <v>17</v>
      </c>
      <c r="C184" s="5">
        <v>45062</v>
      </c>
      <c r="D184" s="5">
        <v>45070</v>
      </c>
      <c r="E184" s="3" t="s">
        <v>24</v>
      </c>
      <c r="F184" s="3" t="s">
        <v>33</v>
      </c>
      <c r="G184" s="3">
        <v>920</v>
      </c>
      <c r="H184" s="3">
        <v>73.09</v>
      </c>
      <c r="I184" s="3">
        <v>70.14</v>
      </c>
      <c r="J184" s="3"/>
      <c r="K184" s="3" t="s">
        <v>15</v>
      </c>
      <c r="L184" s="3">
        <f t="shared" si="8"/>
        <v>8</v>
      </c>
      <c r="M184" s="4">
        <f t="shared" si="9"/>
        <v>2.9500000000000028</v>
      </c>
      <c r="N184" s="6">
        <f t="shared" si="10"/>
        <v>4.0361198522369718E-2</v>
      </c>
      <c r="O184" s="4">
        <f t="shared" si="11"/>
        <v>2714.0000000000027</v>
      </c>
    </row>
    <row r="185" spans="1:15" x14ac:dyDescent="0.3">
      <c r="A185" s="3" t="s">
        <v>210</v>
      </c>
      <c r="B185" s="3" t="s">
        <v>29</v>
      </c>
      <c r="C185" s="5">
        <v>44581</v>
      </c>
      <c r="D185" s="5">
        <v>44591</v>
      </c>
      <c r="E185" s="3" t="s">
        <v>24</v>
      </c>
      <c r="F185" s="3" t="s">
        <v>33</v>
      </c>
      <c r="G185" s="3">
        <v>844</v>
      </c>
      <c r="H185" s="3">
        <v>26.37</v>
      </c>
      <c r="I185" s="3">
        <v>25.08</v>
      </c>
      <c r="J185" s="3">
        <v>38</v>
      </c>
      <c r="K185" s="3" t="s">
        <v>15</v>
      </c>
      <c r="L185" s="3">
        <f t="shared" si="8"/>
        <v>10</v>
      </c>
      <c r="M185" s="4">
        <f t="shared" si="9"/>
        <v>1.2900000000000027</v>
      </c>
      <c r="N185" s="6">
        <f t="shared" si="10"/>
        <v>4.8919226393629223E-2</v>
      </c>
      <c r="O185" s="4">
        <f t="shared" si="11"/>
        <v>1088.7600000000023</v>
      </c>
    </row>
    <row r="186" spans="1:15" x14ac:dyDescent="0.3">
      <c r="A186" s="3" t="s">
        <v>211</v>
      </c>
      <c r="B186" s="3" t="s">
        <v>29</v>
      </c>
      <c r="C186" s="5">
        <v>44676</v>
      </c>
      <c r="D186" s="3"/>
      <c r="E186" s="3" t="s">
        <v>21</v>
      </c>
      <c r="F186" s="3" t="s">
        <v>18</v>
      </c>
      <c r="G186" s="3">
        <v>442</v>
      </c>
      <c r="H186" s="3">
        <v>41.73</v>
      </c>
      <c r="I186" s="3">
        <v>36.450000000000003</v>
      </c>
      <c r="J186" s="3">
        <v>15</v>
      </c>
      <c r="K186" s="3" t="s">
        <v>15</v>
      </c>
      <c r="L186" s="3" t="str">
        <f t="shared" si="8"/>
        <v/>
      </c>
      <c r="M186" s="4">
        <f t="shared" si="9"/>
        <v>5.279999999999994</v>
      </c>
      <c r="N186" s="6">
        <f t="shared" si="10"/>
        <v>0.12652767792954694</v>
      </c>
      <c r="O186" s="4">
        <f t="shared" si="11"/>
        <v>2333.7599999999975</v>
      </c>
    </row>
    <row r="187" spans="1:15" x14ac:dyDescent="0.3">
      <c r="A187" s="3" t="s">
        <v>212</v>
      </c>
      <c r="B187" s="3" t="s">
        <v>23</v>
      </c>
      <c r="C187" s="5">
        <v>44933</v>
      </c>
      <c r="D187" s="5">
        <v>44947</v>
      </c>
      <c r="E187" s="3" t="s">
        <v>39</v>
      </c>
      <c r="F187" s="3" t="s">
        <v>14</v>
      </c>
      <c r="G187" s="3">
        <v>256</v>
      </c>
      <c r="H187" s="3">
        <v>96.15</v>
      </c>
      <c r="I187" s="3">
        <v>83.44</v>
      </c>
      <c r="J187" s="3">
        <v>26</v>
      </c>
      <c r="K187" s="3" t="s">
        <v>15</v>
      </c>
      <c r="L187" s="3">
        <f t="shared" si="8"/>
        <v>14</v>
      </c>
      <c r="M187" s="4">
        <f t="shared" si="9"/>
        <v>12.710000000000008</v>
      </c>
      <c r="N187" s="6">
        <f t="shared" si="10"/>
        <v>0.13218928757150294</v>
      </c>
      <c r="O187" s="4">
        <f t="shared" si="11"/>
        <v>3253.760000000002</v>
      </c>
    </row>
    <row r="188" spans="1:15" x14ac:dyDescent="0.3">
      <c r="A188" s="3" t="s">
        <v>213</v>
      </c>
      <c r="B188" s="3" t="s">
        <v>17</v>
      </c>
      <c r="C188" s="5">
        <v>44876</v>
      </c>
      <c r="D188" s="3"/>
      <c r="E188" s="3" t="s">
        <v>21</v>
      </c>
      <c r="F188" s="3" t="s">
        <v>33</v>
      </c>
      <c r="G188" s="3">
        <v>1088</v>
      </c>
      <c r="H188" s="3">
        <v>55.29</v>
      </c>
      <c r="I188" s="3">
        <v>53.04</v>
      </c>
      <c r="J188" s="3">
        <v>161</v>
      </c>
      <c r="K188" s="3" t="s">
        <v>27</v>
      </c>
      <c r="L188" s="3" t="str">
        <f t="shared" si="8"/>
        <v/>
      </c>
      <c r="M188" s="4">
        <f t="shared" si="9"/>
        <v>2.25</v>
      </c>
      <c r="N188" s="6">
        <f t="shared" si="10"/>
        <v>4.0694519804666304E-2</v>
      </c>
      <c r="O188" s="4">
        <f t="shared" si="11"/>
        <v>2448</v>
      </c>
    </row>
    <row r="189" spans="1:15" x14ac:dyDescent="0.3">
      <c r="A189" s="3" t="s">
        <v>214</v>
      </c>
      <c r="B189" s="3" t="s">
        <v>23</v>
      </c>
      <c r="C189" s="5">
        <v>44807</v>
      </c>
      <c r="D189" s="5">
        <v>44811</v>
      </c>
      <c r="E189" s="3" t="s">
        <v>13</v>
      </c>
      <c r="F189" s="3" t="s">
        <v>18</v>
      </c>
      <c r="G189" s="3">
        <v>1931</v>
      </c>
      <c r="H189" s="3">
        <v>72.88</v>
      </c>
      <c r="I189" s="3">
        <v>64.69</v>
      </c>
      <c r="J189" s="3">
        <v>187</v>
      </c>
      <c r="K189" s="3" t="s">
        <v>15</v>
      </c>
      <c r="L189" s="3">
        <f t="shared" si="8"/>
        <v>4</v>
      </c>
      <c r="M189" s="4">
        <f t="shared" si="9"/>
        <v>8.1899999999999977</v>
      </c>
      <c r="N189" s="6">
        <f t="shared" si="10"/>
        <v>0.11237650933040612</v>
      </c>
      <c r="O189" s="4">
        <f t="shared" si="11"/>
        <v>15814.889999999996</v>
      </c>
    </row>
    <row r="190" spans="1:15" x14ac:dyDescent="0.3">
      <c r="A190" s="3" t="s">
        <v>215</v>
      </c>
      <c r="B190" s="3" t="s">
        <v>20</v>
      </c>
      <c r="C190" s="5">
        <v>44621</v>
      </c>
      <c r="D190" s="5">
        <v>44631</v>
      </c>
      <c r="E190" s="3" t="s">
        <v>39</v>
      </c>
      <c r="F190" s="3" t="s">
        <v>18</v>
      </c>
      <c r="G190" s="3">
        <v>1627</v>
      </c>
      <c r="H190" s="3">
        <v>25.76</v>
      </c>
      <c r="I190" s="3">
        <v>25.09</v>
      </c>
      <c r="J190" s="3">
        <v>74</v>
      </c>
      <c r="K190" s="3" t="s">
        <v>15</v>
      </c>
      <c r="L190" s="3">
        <f t="shared" si="8"/>
        <v>10</v>
      </c>
      <c r="M190" s="4">
        <f t="shared" si="9"/>
        <v>0.67000000000000171</v>
      </c>
      <c r="N190" s="6">
        <f t="shared" si="10"/>
        <v>2.6009316770186398E-2</v>
      </c>
      <c r="O190" s="4">
        <f t="shared" si="11"/>
        <v>1090.0900000000029</v>
      </c>
    </row>
    <row r="191" spans="1:15" x14ac:dyDescent="0.3">
      <c r="A191" s="3" t="s">
        <v>216</v>
      </c>
      <c r="B191" s="3" t="s">
        <v>23</v>
      </c>
      <c r="C191" s="5">
        <v>44808</v>
      </c>
      <c r="D191" s="3"/>
      <c r="E191" s="3" t="s">
        <v>24</v>
      </c>
      <c r="F191" s="3" t="s">
        <v>18</v>
      </c>
      <c r="G191" s="3">
        <v>941</v>
      </c>
      <c r="H191" s="3">
        <v>28.4</v>
      </c>
      <c r="I191" s="3">
        <v>27.21</v>
      </c>
      <c r="J191" s="3"/>
      <c r="K191" s="3" t="s">
        <v>27</v>
      </c>
      <c r="L191" s="3" t="str">
        <f t="shared" si="8"/>
        <v/>
      </c>
      <c r="M191" s="4">
        <f t="shared" si="9"/>
        <v>1.1899999999999977</v>
      </c>
      <c r="N191" s="6">
        <f t="shared" si="10"/>
        <v>4.1901408450704149E-2</v>
      </c>
      <c r="O191" s="4">
        <f t="shared" si="11"/>
        <v>1119.7899999999979</v>
      </c>
    </row>
    <row r="192" spans="1:15" x14ac:dyDescent="0.3">
      <c r="A192" s="3" t="s">
        <v>217</v>
      </c>
      <c r="B192" s="3" t="s">
        <v>20</v>
      </c>
      <c r="C192" s="5">
        <v>45142</v>
      </c>
      <c r="D192" s="5">
        <v>45144</v>
      </c>
      <c r="E192" s="3" t="s">
        <v>21</v>
      </c>
      <c r="F192" s="3" t="s">
        <v>18</v>
      </c>
      <c r="G192" s="3">
        <v>1534</v>
      </c>
      <c r="H192" s="3">
        <v>14.98</v>
      </c>
      <c r="I192" s="3">
        <v>12.79</v>
      </c>
      <c r="J192" s="3"/>
      <c r="K192" s="3" t="s">
        <v>15</v>
      </c>
      <c r="L192" s="3">
        <f t="shared" si="8"/>
        <v>2</v>
      </c>
      <c r="M192" s="4">
        <f t="shared" si="9"/>
        <v>2.1900000000000013</v>
      </c>
      <c r="N192" s="6">
        <f t="shared" si="10"/>
        <v>0.14619492656875843</v>
      </c>
      <c r="O192" s="4">
        <f t="shared" si="11"/>
        <v>3359.4600000000019</v>
      </c>
    </row>
    <row r="193" spans="1:15" x14ac:dyDescent="0.3">
      <c r="A193" s="3" t="s">
        <v>218</v>
      </c>
      <c r="B193" s="3" t="s">
        <v>12</v>
      </c>
      <c r="C193" s="5">
        <v>44642</v>
      </c>
      <c r="D193" s="5">
        <v>44654</v>
      </c>
      <c r="E193" s="3" t="s">
        <v>26</v>
      </c>
      <c r="F193" s="3" t="s">
        <v>18</v>
      </c>
      <c r="G193" s="3">
        <v>1764</v>
      </c>
      <c r="H193" s="3">
        <v>25.46</v>
      </c>
      <c r="I193" s="3">
        <v>24.52</v>
      </c>
      <c r="J193" s="3">
        <v>46</v>
      </c>
      <c r="K193" s="3" t="s">
        <v>15</v>
      </c>
      <c r="L193" s="3">
        <f t="shared" si="8"/>
        <v>12</v>
      </c>
      <c r="M193" s="4">
        <f t="shared" si="9"/>
        <v>0.94000000000000128</v>
      </c>
      <c r="N193" s="6">
        <f t="shared" si="10"/>
        <v>3.6920659858601775E-2</v>
      </c>
      <c r="O193" s="4">
        <f t="shared" si="11"/>
        <v>1658.1600000000024</v>
      </c>
    </row>
    <row r="194" spans="1:15" x14ac:dyDescent="0.3">
      <c r="A194" s="3" t="s">
        <v>219</v>
      </c>
      <c r="B194" s="3" t="s">
        <v>17</v>
      </c>
      <c r="C194" s="5">
        <v>44649</v>
      </c>
      <c r="D194" s="5">
        <v>44657</v>
      </c>
      <c r="E194" s="3" t="s">
        <v>39</v>
      </c>
      <c r="F194" s="3" t="s">
        <v>18</v>
      </c>
      <c r="G194" s="3">
        <v>1648</v>
      </c>
      <c r="H194" s="3">
        <v>35.42</v>
      </c>
      <c r="I194" s="3">
        <v>31.46</v>
      </c>
      <c r="J194" s="3"/>
      <c r="K194" s="3" t="s">
        <v>27</v>
      </c>
      <c r="L194" s="3">
        <f t="shared" si="8"/>
        <v>8</v>
      </c>
      <c r="M194" s="4">
        <f t="shared" si="9"/>
        <v>3.9600000000000009</v>
      </c>
      <c r="N194" s="6">
        <f t="shared" si="10"/>
        <v>0.11180124223602486</v>
      </c>
      <c r="O194" s="4">
        <f t="shared" si="11"/>
        <v>6526.0800000000017</v>
      </c>
    </row>
    <row r="195" spans="1:15" x14ac:dyDescent="0.3">
      <c r="A195" s="3" t="s">
        <v>220</v>
      </c>
      <c r="B195" s="3" t="s">
        <v>20</v>
      </c>
      <c r="C195" s="5">
        <v>45059</v>
      </c>
      <c r="D195" s="5">
        <v>45078</v>
      </c>
      <c r="E195" s="3" t="s">
        <v>24</v>
      </c>
      <c r="F195" s="3" t="s">
        <v>18</v>
      </c>
      <c r="G195" s="3">
        <v>913</v>
      </c>
      <c r="H195" s="3">
        <v>28.01</v>
      </c>
      <c r="I195" s="3">
        <v>24.06</v>
      </c>
      <c r="J195" s="3">
        <v>53</v>
      </c>
      <c r="K195" s="3" t="s">
        <v>15</v>
      </c>
      <c r="L195" s="3">
        <f t="shared" ref="L195:L258" si="12">IF(OR(C195="",D195=""),"",D195-C195)</f>
        <v>19</v>
      </c>
      <c r="M195" s="4">
        <f t="shared" ref="M195:M258" si="13">H195-I195</f>
        <v>3.9500000000000028</v>
      </c>
      <c r="N195" s="6">
        <f t="shared" ref="N195:N258" si="14">IFERROR((H195-I195)/H195,0)</f>
        <v>0.14102106390574803</v>
      </c>
      <c r="O195" s="4">
        <f t="shared" ref="O195:O258" si="15">(H195-I195)*G195</f>
        <v>3606.3500000000026</v>
      </c>
    </row>
    <row r="196" spans="1:15" x14ac:dyDescent="0.3">
      <c r="A196" s="3" t="s">
        <v>221</v>
      </c>
      <c r="B196" s="3" t="s">
        <v>12</v>
      </c>
      <c r="C196" s="5">
        <v>44632</v>
      </c>
      <c r="D196" s="5">
        <v>44638</v>
      </c>
      <c r="E196" s="3" t="s">
        <v>24</v>
      </c>
      <c r="F196" s="3" t="s">
        <v>14</v>
      </c>
      <c r="G196" s="3">
        <v>792</v>
      </c>
      <c r="H196" s="3">
        <v>18.16</v>
      </c>
      <c r="I196" s="3">
        <v>17.25</v>
      </c>
      <c r="J196" s="3">
        <v>17</v>
      </c>
      <c r="K196" s="3" t="s">
        <v>15</v>
      </c>
      <c r="L196" s="3">
        <f t="shared" si="12"/>
        <v>6</v>
      </c>
      <c r="M196" s="4">
        <f t="shared" si="13"/>
        <v>0.91000000000000014</v>
      </c>
      <c r="N196" s="6">
        <f t="shared" si="14"/>
        <v>5.0110132158590316E-2</v>
      </c>
      <c r="O196" s="4">
        <f t="shared" si="15"/>
        <v>720.72000000000014</v>
      </c>
    </row>
    <row r="197" spans="1:15" x14ac:dyDescent="0.3">
      <c r="A197" s="3" t="s">
        <v>222</v>
      </c>
      <c r="B197" s="3" t="s">
        <v>29</v>
      </c>
      <c r="C197" s="5">
        <v>45107</v>
      </c>
      <c r="D197" s="5">
        <v>45110</v>
      </c>
      <c r="E197" s="3" t="s">
        <v>13</v>
      </c>
      <c r="F197" s="3" t="s">
        <v>33</v>
      </c>
      <c r="G197" s="3">
        <v>1314</v>
      </c>
      <c r="H197" s="3">
        <v>22.63</v>
      </c>
      <c r="I197" s="3">
        <v>21.06</v>
      </c>
      <c r="J197" s="3">
        <v>44</v>
      </c>
      <c r="K197" s="3" t="s">
        <v>15</v>
      </c>
      <c r="L197" s="3">
        <f t="shared" si="12"/>
        <v>3</v>
      </c>
      <c r="M197" s="4">
        <f t="shared" si="13"/>
        <v>1.5700000000000003</v>
      </c>
      <c r="N197" s="6">
        <f t="shared" si="14"/>
        <v>6.9376933274414507E-2</v>
      </c>
      <c r="O197" s="4">
        <f t="shared" si="15"/>
        <v>2062.9800000000005</v>
      </c>
    </row>
    <row r="198" spans="1:15" x14ac:dyDescent="0.3">
      <c r="A198" s="3" t="s">
        <v>223</v>
      </c>
      <c r="B198" s="3" t="s">
        <v>23</v>
      </c>
      <c r="C198" s="5">
        <v>44690</v>
      </c>
      <c r="D198" s="5">
        <v>44703</v>
      </c>
      <c r="E198" s="3" t="s">
        <v>21</v>
      </c>
      <c r="F198" s="3" t="s">
        <v>18</v>
      </c>
      <c r="G198" s="3">
        <v>613</v>
      </c>
      <c r="H198" s="3">
        <v>52.5</v>
      </c>
      <c r="I198" s="3">
        <v>45.19</v>
      </c>
      <c r="J198" s="3">
        <v>70</v>
      </c>
      <c r="K198" s="3" t="s">
        <v>15</v>
      </c>
      <c r="L198" s="3">
        <f t="shared" si="12"/>
        <v>13</v>
      </c>
      <c r="M198" s="4">
        <f t="shared" si="13"/>
        <v>7.3100000000000023</v>
      </c>
      <c r="N198" s="6">
        <f t="shared" si="14"/>
        <v>0.13923809523809527</v>
      </c>
      <c r="O198" s="4">
        <f t="shared" si="15"/>
        <v>4481.0300000000016</v>
      </c>
    </row>
    <row r="199" spans="1:15" x14ac:dyDescent="0.3">
      <c r="A199" s="3" t="s">
        <v>224</v>
      </c>
      <c r="B199" s="3" t="s">
        <v>12</v>
      </c>
      <c r="C199" s="5">
        <v>44693</v>
      </c>
      <c r="D199" s="5">
        <v>44701</v>
      </c>
      <c r="E199" s="3" t="s">
        <v>13</v>
      </c>
      <c r="F199" s="3" t="s">
        <v>18</v>
      </c>
      <c r="G199" s="3">
        <v>1070</v>
      </c>
      <c r="H199" s="3">
        <v>29.14</v>
      </c>
      <c r="I199" s="3">
        <v>26.63</v>
      </c>
      <c r="J199" s="3">
        <v>24</v>
      </c>
      <c r="K199" s="3" t="s">
        <v>15</v>
      </c>
      <c r="L199" s="3">
        <f t="shared" si="12"/>
        <v>8</v>
      </c>
      <c r="M199" s="4">
        <f t="shared" si="13"/>
        <v>2.5100000000000016</v>
      </c>
      <c r="N199" s="6">
        <f t="shared" si="14"/>
        <v>8.6135895676046723E-2</v>
      </c>
      <c r="O199" s="4">
        <f t="shared" si="15"/>
        <v>2685.7000000000016</v>
      </c>
    </row>
    <row r="200" spans="1:15" x14ac:dyDescent="0.3">
      <c r="A200" s="3" t="s">
        <v>225</v>
      </c>
      <c r="B200" s="3" t="s">
        <v>20</v>
      </c>
      <c r="C200" s="5">
        <v>45237</v>
      </c>
      <c r="D200" s="5">
        <v>45256</v>
      </c>
      <c r="E200" s="3" t="s">
        <v>26</v>
      </c>
      <c r="F200" s="3" t="s">
        <v>33</v>
      </c>
      <c r="G200" s="3">
        <v>145</v>
      </c>
      <c r="H200" s="3">
        <v>47.49</v>
      </c>
      <c r="I200" s="3">
        <v>42.76</v>
      </c>
      <c r="J200" s="3">
        <v>6</v>
      </c>
      <c r="K200" s="3" t="s">
        <v>15</v>
      </c>
      <c r="L200" s="3">
        <f t="shared" si="12"/>
        <v>19</v>
      </c>
      <c r="M200" s="4">
        <f t="shared" si="13"/>
        <v>4.730000000000004</v>
      </c>
      <c r="N200" s="6">
        <f t="shared" si="14"/>
        <v>9.9599915771741501E-2</v>
      </c>
      <c r="O200" s="4">
        <f t="shared" si="15"/>
        <v>685.85000000000059</v>
      </c>
    </row>
    <row r="201" spans="1:15" x14ac:dyDescent="0.3">
      <c r="A201" s="3" t="s">
        <v>226</v>
      </c>
      <c r="B201" s="3" t="s">
        <v>17</v>
      </c>
      <c r="C201" s="5">
        <v>45048</v>
      </c>
      <c r="D201" s="5">
        <v>45063</v>
      </c>
      <c r="E201" s="3" t="s">
        <v>26</v>
      </c>
      <c r="F201" s="3" t="s">
        <v>18</v>
      </c>
      <c r="G201" s="3">
        <v>1973</v>
      </c>
      <c r="H201" s="3">
        <v>59.73</v>
      </c>
      <c r="I201" s="3">
        <v>54.95</v>
      </c>
      <c r="J201" s="3">
        <v>291</v>
      </c>
      <c r="K201" s="3" t="s">
        <v>15</v>
      </c>
      <c r="L201" s="3">
        <f t="shared" si="12"/>
        <v>15</v>
      </c>
      <c r="M201" s="4">
        <f t="shared" si="13"/>
        <v>4.779999999999994</v>
      </c>
      <c r="N201" s="6">
        <f t="shared" si="14"/>
        <v>8.0026787209107553E-2</v>
      </c>
      <c r="O201" s="4">
        <f t="shared" si="15"/>
        <v>9430.9399999999878</v>
      </c>
    </row>
    <row r="202" spans="1:15" x14ac:dyDescent="0.3">
      <c r="A202" s="3" t="s">
        <v>227</v>
      </c>
      <c r="B202" s="3" t="s">
        <v>29</v>
      </c>
      <c r="C202" s="5">
        <v>45124</v>
      </c>
      <c r="D202" s="5">
        <v>45139</v>
      </c>
      <c r="E202" s="3" t="s">
        <v>13</v>
      </c>
      <c r="F202" s="3" t="s">
        <v>18</v>
      </c>
      <c r="G202" s="3">
        <v>1807</v>
      </c>
      <c r="H202" s="3">
        <v>78.63</v>
      </c>
      <c r="I202" s="3">
        <v>73.08</v>
      </c>
      <c r="J202" s="3">
        <v>100</v>
      </c>
      <c r="K202" s="3" t="s">
        <v>15</v>
      </c>
      <c r="L202" s="3">
        <f t="shared" si="12"/>
        <v>15</v>
      </c>
      <c r="M202" s="4">
        <f t="shared" si="13"/>
        <v>5.5499999999999972</v>
      </c>
      <c r="N202" s="6">
        <f t="shared" si="14"/>
        <v>7.0583746661579516E-2</v>
      </c>
      <c r="O202" s="4">
        <f t="shared" si="15"/>
        <v>10028.849999999995</v>
      </c>
    </row>
    <row r="203" spans="1:15" x14ac:dyDescent="0.3">
      <c r="A203" s="3" t="s">
        <v>228</v>
      </c>
      <c r="B203" s="3" t="s">
        <v>29</v>
      </c>
      <c r="C203" s="5">
        <v>44731</v>
      </c>
      <c r="D203" s="5">
        <v>44732</v>
      </c>
      <c r="E203" s="3" t="s">
        <v>39</v>
      </c>
      <c r="F203" s="3" t="s">
        <v>18</v>
      </c>
      <c r="G203" s="3">
        <v>534</v>
      </c>
      <c r="H203" s="3">
        <v>13.88</v>
      </c>
      <c r="I203" s="3">
        <v>12.51</v>
      </c>
      <c r="J203" s="3">
        <v>100</v>
      </c>
      <c r="K203" s="3" t="s">
        <v>15</v>
      </c>
      <c r="L203" s="3">
        <f t="shared" si="12"/>
        <v>1</v>
      </c>
      <c r="M203" s="4">
        <f t="shared" si="13"/>
        <v>1.370000000000001</v>
      </c>
      <c r="N203" s="6">
        <f t="shared" si="14"/>
        <v>9.870317002881851E-2</v>
      </c>
      <c r="O203" s="4">
        <f t="shared" si="15"/>
        <v>731.5800000000005</v>
      </c>
    </row>
    <row r="204" spans="1:15" x14ac:dyDescent="0.3">
      <c r="A204" s="3" t="s">
        <v>229</v>
      </c>
      <c r="B204" s="3" t="s">
        <v>12</v>
      </c>
      <c r="C204" s="5">
        <v>44833</v>
      </c>
      <c r="D204" s="5">
        <v>44848</v>
      </c>
      <c r="E204" s="3" t="s">
        <v>39</v>
      </c>
      <c r="F204" s="3" t="s">
        <v>18</v>
      </c>
      <c r="G204" s="3">
        <v>1480</v>
      </c>
      <c r="H204" s="3">
        <v>85.22</v>
      </c>
      <c r="I204" s="3">
        <v>75.48</v>
      </c>
      <c r="J204" s="3">
        <v>100</v>
      </c>
      <c r="K204" s="3" t="s">
        <v>15</v>
      </c>
      <c r="L204" s="3">
        <f t="shared" si="12"/>
        <v>15</v>
      </c>
      <c r="M204" s="4">
        <f t="shared" si="13"/>
        <v>9.7399999999999949</v>
      </c>
      <c r="N204" s="6">
        <f t="shared" si="14"/>
        <v>0.1142924196198075</v>
      </c>
      <c r="O204" s="4">
        <f t="shared" si="15"/>
        <v>14415.199999999992</v>
      </c>
    </row>
    <row r="205" spans="1:15" x14ac:dyDescent="0.3">
      <c r="A205" s="3" t="s">
        <v>230</v>
      </c>
      <c r="B205" s="3" t="s">
        <v>12</v>
      </c>
      <c r="C205" s="5">
        <v>45102</v>
      </c>
      <c r="D205" s="3"/>
      <c r="E205" s="3" t="s">
        <v>13</v>
      </c>
      <c r="F205" s="3" t="s">
        <v>18</v>
      </c>
      <c r="G205" s="3">
        <v>280</v>
      </c>
      <c r="H205" s="3">
        <v>72.16</v>
      </c>
      <c r="I205" s="3">
        <v>62.38</v>
      </c>
      <c r="J205" s="3">
        <v>100</v>
      </c>
      <c r="K205" s="3" t="s">
        <v>15</v>
      </c>
      <c r="L205" s="3" t="str">
        <f t="shared" si="12"/>
        <v/>
      </c>
      <c r="M205" s="4">
        <f t="shared" si="13"/>
        <v>9.779999999999994</v>
      </c>
      <c r="N205" s="6">
        <f t="shared" si="14"/>
        <v>0.13553215077605313</v>
      </c>
      <c r="O205" s="4">
        <f t="shared" si="15"/>
        <v>2738.3999999999983</v>
      </c>
    </row>
    <row r="206" spans="1:15" x14ac:dyDescent="0.3">
      <c r="A206" s="3" t="s">
        <v>231</v>
      </c>
      <c r="B206" s="3" t="s">
        <v>23</v>
      </c>
      <c r="C206" s="5">
        <v>45183</v>
      </c>
      <c r="D206" s="5">
        <v>45189</v>
      </c>
      <c r="E206" s="3" t="s">
        <v>13</v>
      </c>
      <c r="F206" s="3" t="s">
        <v>14</v>
      </c>
      <c r="G206" s="3">
        <v>798</v>
      </c>
      <c r="H206" s="3">
        <v>19.09</v>
      </c>
      <c r="I206" s="3">
        <v>17.760000000000002</v>
      </c>
      <c r="J206" s="3">
        <v>100</v>
      </c>
      <c r="K206" s="3" t="s">
        <v>15</v>
      </c>
      <c r="L206" s="3">
        <f t="shared" si="12"/>
        <v>6</v>
      </c>
      <c r="M206" s="4">
        <f t="shared" si="13"/>
        <v>1.3299999999999983</v>
      </c>
      <c r="N206" s="6">
        <f t="shared" si="14"/>
        <v>6.9669984284965861E-2</v>
      </c>
      <c r="O206" s="4">
        <f t="shared" si="15"/>
        <v>1061.3399999999986</v>
      </c>
    </row>
    <row r="207" spans="1:15" x14ac:dyDescent="0.3">
      <c r="A207" s="3" t="s">
        <v>232</v>
      </c>
      <c r="B207" s="3" t="s">
        <v>29</v>
      </c>
      <c r="C207" s="5">
        <v>44995</v>
      </c>
      <c r="D207" s="5">
        <v>45007</v>
      </c>
      <c r="E207" s="3" t="s">
        <v>39</v>
      </c>
      <c r="F207" s="3" t="s">
        <v>18</v>
      </c>
      <c r="G207" s="3">
        <v>1728</v>
      </c>
      <c r="H207" s="3">
        <v>94.83</v>
      </c>
      <c r="I207" s="3">
        <v>90.2</v>
      </c>
      <c r="J207" s="3">
        <v>100</v>
      </c>
      <c r="K207" s="3" t="s">
        <v>15</v>
      </c>
      <c r="L207" s="3">
        <f t="shared" si="12"/>
        <v>12</v>
      </c>
      <c r="M207" s="4">
        <f t="shared" si="13"/>
        <v>4.6299999999999955</v>
      </c>
      <c r="N207" s="6">
        <f t="shared" si="14"/>
        <v>4.8824211747337296E-2</v>
      </c>
      <c r="O207" s="4">
        <f t="shared" si="15"/>
        <v>8000.6399999999921</v>
      </c>
    </row>
    <row r="208" spans="1:15" x14ac:dyDescent="0.3">
      <c r="A208" s="3" t="s">
        <v>233</v>
      </c>
      <c r="B208" s="3" t="s">
        <v>29</v>
      </c>
      <c r="C208" s="5">
        <v>44778</v>
      </c>
      <c r="D208" s="3"/>
      <c r="E208" s="3" t="s">
        <v>21</v>
      </c>
      <c r="F208" s="3" t="s">
        <v>18</v>
      </c>
      <c r="G208" s="3">
        <v>1244</v>
      </c>
      <c r="H208" s="3">
        <v>96.13</v>
      </c>
      <c r="I208" s="3">
        <v>84.78</v>
      </c>
      <c r="J208" s="3">
        <v>43</v>
      </c>
      <c r="K208" s="3" t="s">
        <v>15</v>
      </c>
      <c r="L208" s="3" t="str">
        <f t="shared" si="12"/>
        <v/>
      </c>
      <c r="M208" s="4">
        <f t="shared" si="13"/>
        <v>11.349999999999994</v>
      </c>
      <c r="N208" s="6">
        <f t="shared" si="14"/>
        <v>0.11806928118173302</v>
      </c>
      <c r="O208" s="4">
        <f t="shared" si="15"/>
        <v>14119.399999999992</v>
      </c>
    </row>
    <row r="209" spans="1:15" x14ac:dyDescent="0.3">
      <c r="A209" s="3" t="s">
        <v>234</v>
      </c>
      <c r="B209" s="3" t="s">
        <v>23</v>
      </c>
      <c r="C209" s="5">
        <v>45114</v>
      </c>
      <c r="D209" s="5">
        <v>45128</v>
      </c>
      <c r="E209" s="3" t="s">
        <v>13</v>
      </c>
      <c r="F209" s="3" t="s">
        <v>18</v>
      </c>
      <c r="G209" s="3">
        <v>590</v>
      </c>
      <c r="H209" s="3">
        <v>16.89</v>
      </c>
      <c r="I209" s="3">
        <v>15.56</v>
      </c>
      <c r="J209" s="3">
        <v>46</v>
      </c>
      <c r="K209" s="3" t="s">
        <v>27</v>
      </c>
      <c r="L209" s="3">
        <f t="shared" si="12"/>
        <v>14</v>
      </c>
      <c r="M209" s="4">
        <f t="shared" si="13"/>
        <v>1.33</v>
      </c>
      <c r="N209" s="6">
        <f t="shared" si="14"/>
        <v>7.8744819419775014E-2</v>
      </c>
      <c r="O209" s="4">
        <f t="shared" si="15"/>
        <v>784.7</v>
      </c>
    </row>
    <row r="210" spans="1:15" x14ac:dyDescent="0.3">
      <c r="A210" s="3" t="s">
        <v>235</v>
      </c>
      <c r="B210" s="3" t="s">
        <v>17</v>
      </c>
      <c r="C210" s="5">
        <v>45268</v>
      </c>
      <c r="D210" s="5">
        <v>45283</v>
      </c>
      <c r="E210" s="3" t="s">
        <v>24</v>
      </c>
      <c r="F210" s="3" t="s">
        <v>18</v>
      </c>
      <c r="G210" s="3">
        <v>1109</v>
      </c>
      <c r="H210" s="3">
        <v>38.93</v>
      </c>
      <c r="I210" s="3">
        <v>33.33</v>
      </c>
      <c r="J210" s="3">
        <v>152</v>
      </c>
      <c r="K210" s="3" t="s">
        <v>15</v>
      </c>
      <c r="L210" s="3">
        <f t="shared" si="12"/>
        <v>15</v>
      </c>
      <c r="M210" s="4">
        <f t="shared" si="13"/>
        <v>5.6000000000000014</v>
      </c>
      <c r="N210" s="6">
        <f t="shared" si="14"/>
        <v>0.14384793218597486</v>
      </c>
      <c r="O210" s="4">
        <f t="shared" si="15"/>
        <v>6210.4000000000015</v>
      </c>
    </row>
    <row r="211" spans="1:15" x14ac:dyDescent="0.3">
      <c r="A211" s="3" t="s">
        <v>236</v>
      </c>
      <c r="B211" s="3" t="s">
        <v>23</v>
      </c>
      <c r="C211" s="5">
        <v>44767</v>
      </c>
      <c r="D211" s="5">
        <v>44774</v>
      </c>
      <c r="E211" s="3" t="s">
        <v>21</v>
      </c>
      <c r="F211" s="3" t="s">
        <v>18</v>
      </c>
      <c r="G211" s="3">
        <v>574</v>
      </c>
      <c r="H211" s="3">
        <v>85.03</v>
      </c>
      <c r="I211" s="3">
        <v>82.55</v>
      </c>
      <c r="J211" s="3">
        <v>54</v>
      </c>
      <c r="K211" s="3" t="s">
        <v>15</v>
      </c>
      <c r="L211" s="3">
        <f t="shared" si="12"/>
        <v>7</v>
      </c>
      <c r="M211" s="4">
        <f t="shared" si="13"/>
        <v>2.480000000000004</v>
      </c>
      <c r="N211" s="6">
        <f t="shared" si="14"/>
        <v>2.9166176643537621E-2</v>
      </c>
      <c r="O211" s="4">
        <f t="shared" si="15"/>
        <v>1423.5200000000023</v>
      </c>
    </row>
    <row r="212" spans="1:15" x14ac:dyDescent="0.3">
      <c r="A212" s="3" t="s">
        <v>237</v>
      </c>
      <c r="B212" s="3" t="s">
        <v>20</v>
      </c>
      <c r="C212" s="5">
        <v>45292</v>
      </c>
      <c r="D212" s="3"/>
      <c r="E212" s="3" t="s">
        <v>13</v>
      </c>
      <c r="F212" s="3" t="s">
        <v>18</v>
      </c>
      <c r="G212" s="3">
        <v>1233</v>
      </c>
      <c r="H212" s="3">
        <v>86.62</v>
      </c>
      <c r="I212" s="3">
        <v>76.59</v>
      </c>
      <c r="J212" s="3">
        <v>65</v>
      </c>
      <c r="K212" s="3" t="s">
        <v>15</v>
      </c>
      <c r="L212" s="3" t="str">
        <f t="shared" si="12"/>
        <v/>
      </c>
      <c r="M212" s="4">
        <f t="shared" si="13"/>
        <v>10.030000000000001</v>
      </c>
      <c r="N212" s="6">
        <f t="shared" si="14"/>
        <v>0.11579311937196952</v>
      </c>
      <c r="O212" s="4">
        <f t="shared" si="15"/>
        <v>12366.990000000002</v>
      </c>
    </row>
    <row r="213" spans="1:15" x14ac:dyDescent="0.3">
      <c r="A213" s="3" t="s">
        <v>238</v>
      </c>
      <c r="B213" s="3" t="s">
        <v>20</v>
      </c>
      <c r="C213" s="5">
        <v>44881</v>
      </c>
      <c r="D213" s="5">
        <v>44885</v>
      </c>
      <c r="E213" s="3" t="s">
        <v>24</v>
      </c>
      <c r="F213" s="3" t="s">
        <v>18</v>
      </c>
      <c r="G213" s="3">
        <v>1912</v>
      </c>
      <c r="H213" s="3">
        <v>27.94</v>
      </c>
      <c r="I213" s="3">
        <v>25.59</v>
      </c>
      <c r="J213" s="3">
        <v>83</v>
      </c>
      <c r="K213" s="3" t="s">
        <v>27</v>
      </c>
      <c r="L213" s="3">
        <f t="shared" si="12"/>
        <v>4</v>
      </c>
      <c r="M213" s="4">
        <f t="shared" si="13"/>
        <v>2.3500000000000014</v>
      </c>
      <c r="N213" s="6">
        <f t="shared" si="14"/>
        <v>8.4108804581245575E-2</v>
      </c>
      <c r="O213" s="4">
        <f t="shared" si="15"/>
        <v>4493.2000000000025</v>
      </c>
    </row>
    <row r="214" spans="1:15" x14ac:dyDescent="0.3">
      <c r="A214" s="3" t="s">
        <v>239</v>
      </c>
      <c r="B214" s="3" t="s">
        <v>12</v>
      </c>
      <c r="C214" s="5">
        <v>44970</v>
      </c>
      <c r="D214" s="5">
        <v>44989</v>
      </c>
      <c r="E214" s="3" t="s">
        <v>24</v>
      </c>
      <c r="F214" s="3" t="s">
        <v>18</v>
      </c>
      <c r="G214" s="3">
        <v>1772</v>
      </c>
      <c r="H214" s="3">
        <v>30.72</v>
      </c>
      <c r="I214" s="3">
        <v>27.76</v>
      </c>
      <c r="J214" s="3">
        <v>46</v>
      </c>
      <c r="K214" s="3" t="s">
        <v>27</v>
      </c>
      <c r="L214" s="3">
        <f t="shared" si="12"/>
        <v>19</v>
      </c>
      <c r="M214" s="4">
        <f t="shared" si="13"/>
        <v>2.9599999999999973</v>
      </c>
      <c r="N214" s="6">
        <f t="shared" si="14"/>
        <v>9.6354166666666588E-2</v>
      </c>
      <c r="O214" s="4">
        <f t="shared" si="15"/>
        <v>5245.1199999999953</v>
      </c>
    </row>
    <row r="215" spans="1:15" x14ac:dyDescent="0.3">
      <c r="A215" s="3" t="s">
        <v>240</v>
      </c>
      <c r="B215" s="3" t="s">
        <v>23</v>
      </c>
      <c r="C215" s="5">
        <v>45249</v>
      </c>
      <c r="D215" s="5">
        <v>45259</v>
      </c>
      <c r="E215" s="3" t="s">
        <v>13</v>
      </c>
      <c r="F215" s="3" t="s">
        <v>18</v>
      </c>
      <c r="G215" s="3">
        <v>1316</v>
      </c>
      <c r="H215" s="3">
        <v>48.11</v>
      </c>
      <c r="I215" s="3">
        <v>41.9</v>
      </c>
      <c r="J215" s="3">
        <v>135</v>
      </c>
      <c r="K215" s="3" t="s">
        <v>15</v>
      </c>
      <c r="L215" s="3">
        <f t="shared" si="12"/>
        <v>10</v>
      </c>
      <c r="M215" s="4">
        <f t="shared" si="13"/>
        <v>6.2100000000000009</v>
      </c>
      <c r="N215" s="6">
        <f t="shared" si="14"/>
        <v>0.1290791935148618</v>
      </c>
      <c r="O215" s="4">
        <f t="shared" si="15"/>
        <v>8172.3600000000015</v>
      </c>
    </row>
    <row r="216" spans="1:15" x14ac:dyDescent="0.3">
      <c r="A216" s="3" t="s">
        <v>241</v>
      </c>
      <c r="B216" s="3" t="s">
        <v>23</v>
      </c>
      <c r="C216" s="5">
        <v>45227</v>
      </c>
      <c r="D216" s="3"/>
      <c r="E216" s="3" t="s">
        <v>13</v>
      </c>
      <c r="F216" s="3" t="s">
        <v>18</v>
      </c>
      <c r="G216" s="3">
        <v>1159</v>
      </c>
      <c r="H216" s="3">
        <v>59.24</v>
      </c>
      <c r="I216" s="3">
        <v>58.08</v>
      </c>
      <c r="J216" s="3"/>
      <c r="K216" s="3" t="s">
        <v>15</v>
      </c>
      <c r="L216" s="3" t="str">
        <f t="shared" si="12"/>
        <v/>
      </c>
      <c r="M216" s="4">
        <f t="shared" si="13"/>
        <v>1.1600000000000037</v>
      </c>
      <c r="N216" s="6">
        <f t="shared" si="14"/>
        <v>1.9581363943281627E-2</v>
      </c>
      <c r="O216" s="4">
        <f t="shared" si="15"/>
        <v>1344.4400000000044</v>
      </c>
    </row>
    <row r="217" spans="1:15" x14ac:dyDescent="0.3">
      <c r="A217" s="3" t="s">
        <v>242</v>
      </c>
      <c r="B217" s="3" t="s">
        <v>12</v>
      </c>
      <c r="C217" s="5">
        <v>44944</v>
      </c>
      <c r="D217" s="5">
        <v>44957</v>
      </c>
      <c r="E217" s="3" t="s">
        <v>13</v>
      </c>
      <c r="F217" s="3" t="s">
        <v>18</v>
      </c>
      <c r="G217" s="3">
        <v>1869</v>
      </c>
      <c r="H217" s="3">
        <v>69.58</v>
      </c>
      <c r="I217" s="3">
        <v>67.5</v>
      </c>
      <c r="J217" s="3">
        <v>31</v>
      </c>
      <c r="K217" s="3" t="s">
        <v>15</v>
      </c>
      <c r="L217" s="3">
        <f t="shared" si="12"/>
        <v>13</v>
      </c>
      <c r="M217" s="4">
        <f t="shared" si="13"/>
        <v>2.0799999999999983</v>
      </c>
      <c r="N217" s="6">
        <f t="shared" si="14"/>
        <v>2.9893647599885002E-2</v>
      </c>
      <c r="O217" s="4">
        <f t="shared" si="15"/>
        <v>3887.5199999999968</v>
      </c>
    </row>
    <row r="218" spans="1:15" x14ac:dyDescent="0.3">
      <c r="A218" s="3" t="s">
        <v>243</v>
      </c>
      <c r="B218" s="3" t="s">
        <v>17</v>
      </c>
      <c r="C218" s="5">
        <v>45010</v>
      </c>
      <c r="D218" s="5">
        <v>45029</v>
      </c>
      <c r="E218" s="3" t="s">
        <v>24</v>
      </c>
      <c r="F218" s="3" t="s">
        <v>18</v>
      </c>
      <c r="G218" s="3">
        <v>627</v>
      </c>
      <c r="H218" s="3">
        <v>46.23</v>
      </c>
      <c r="I218" s="3">
        <v>42.87</v>
      </c>
      <c r="J218" s="3"/>
      <c r="K218" s="3" t="s">
        <v>15</v>
      </c>
      <c r="L218" s="3">
        <f t="shared" si="12"/>
        <v>19</v>
      </c>
      <c r="M218" s="4">
        <f t="shared" si="13"/>
        <v>3.3599999999999994</v>
      </c>
      <c r="N218" s="6">
        <f t="shared" si="14"/>
        <v>7.2680077871511997E-2</v>
      </c>
      <c r="O218" s="4">
        <f t="shared" si="15"/>
        <v>2106.7199999999998</v>
      </c>
    </row>
    <row r="219" spans="1:15" x14ac:dyDescent="0.3">
      <c r="A219" s="3" t="s">
        <v>244</v>
      </c>
      <c r="B219" s="3" t="s">
        <v>23</v>
      </c>
      <c r="C219" s="5">
        <v>45091</v>
      </c>
      <c r="D219" s="5">
        <v>45093</v>
      </c>
      <c r="E219" s="3" t="s">
        <v>26</v>
      </c>
      <c r="F219" s="3" t="s">
        <v>35</v>
      </c>
      <c r="G219" s="3">
        <v>731</v>
      </c>
      <c r="H219" s="3">
        <v>56.02</v>
      </c>
      <c r="I219" s="3">
        <v>54.78</v>
      </c>
      <c r="J219" s="3">
        <v>70</v>
      </c>
      <c r="K219" s="3" t="s">
        <v>27</v>
      </c>
      <c r="L219" s="3">
        <f t="shared" si="12"/>
        <v>2</v>
      </c>
      <c r="M219" s="4">
        <f t="shared" si="13"/>
        <v>1.240000000000002</v>
      </c>
      <c r="N219" s="6">
        <f t="shared" si="14"/>
        <v>2.2134951802927561E-2</v>
      </c>
      <c r="O219" s="4">
        <f t="shared" si="15"/>
        <v>906.44000000000142</v>
      </c>
    </row>
    <row r="220" spans="1:15" x14ac:dyDescent="0.3">
      <c r="A220" s="3" t="s">
        <v>245</v>
      </c>
      <c r="B220" s="3" t="s">
        <v>29</v>
      </c>
      <c r="C220" s="5">
        <v>45024</v>
      </c>
      <c r="D220" s="3"/>
      <c r="E220" s="3" t="s">
        <v>13</v>
      </c>
      <c r="F220" s="3" t="s">
        <v>14</v>
      </c>
      <c r="G220" s="3">
        <v>606</v>
      </c>
      <c r="H220" s="3">
        <v>83.07</v>
      </c>
      <c r="I220" s="3">
        <v>79.22</v>
      </c>
      <c r="J220" s="3">
        <v>16</v>
      </c>
      <c r="K220" s="3" t="s">
        <v>15</v>
      </c>
      <c r="L220" s="3" t="str">
        <f t="shared" si="12"/>
        <v/>
      </c>
      <c r="M220" s="4">
        <f t="shared" si="13"/>
        <v>3.8499999999999943</v>
      </c>
      <c r="N220" s="6">
        <f t="shared" si="14"/>
        <v>4.6346454797158959E-2</v>
      </c>
      <c r="O220" s="4">
        <f t="shared" si="15"/>
        <v>2333.0999999999967</v>
      </c>
    </row>
    <row r="221" spans="1:15" x14ac:dyDescent="0.3">
      <c r="A221" s="3" t="s">
        <v>246</v>
      </c>
      <c r="B221" s="3" t="s">
        <v>23</v>
      </c>
      <c r="C221" s="5">
        <v>44685</v>
      </c>
      <c r="D221" s="5">
        <v>44695</v>
      </c>
      <c r="E221" s="3" t="s">
        <v>13</v>
      </c>
      <c r="F221" s="3" t="s">
        <v>18</v>
      </c>
      <c r="G221" s="3">
        <v>1647</v>
      </c>
      <c r="H221" s="3">
        <v>13.57</v>
      </c>
      <c r="I221" s="3">
        <v>12.33</v>
      </c>
      <c r="J221" s="3">
        <v>157</v>
      </c>
      <c r="K221" s="3" t="s">
        <v>15</v>
      </c>
      <c r="L221" s="3">
        <f t="shared" si="12"/>
        <v>10</v>
      </c>
      <c r="M221" s="4">
        <f t="shared" si="13"/>
        <v>1.2400000000000002</v>
      </c>
      <c r="N221" s="6">
        <f t="shared" si="14"/>
        <v>9.1378039793662505E-2</v>
      </c>
      <c r="O221" s="4">
        <f t="shared" si="15"/>
        <v>2042.2800000000004</v>
      </c>
    </row>
    <row r="222" spans="1:15" x14ac:dyDescent="0.3">
      <c r="A222" s="3" t="s">
        <v>247</v>
      </c>
      <c r="B222" s="3" t="s">
        <v>17</v>
      </c>
      <c r="C222" s="5">
        <v>44815</v>
      </c>
      <c r="D222" s="5">
        <v>44823</v>
      </c>
      <c r="E222" s="3" t="s">
        <v>21</v>
      </c>
      <c r="F222" s="3" t="s">
        <v>18</v>
      </c>
      <c r="G222" s="3">
        <v>1062</v>
      </c>
      <c r="H222" s="3">
        <v>34.03</v>
      </c>
      <c r="I222" s="3">
        <v>30.46</v>
      </c>
      <c r="J222" s="3"/>
      <c r="K222" s="3" t="s">
        <v>15</v>
      </c>
      <c r="L222" s="3">
        <f t="shared" si="12"/>
        <v>8</v>
      </c>
      <c r="M222" s="4">
        <f t="shared" si="13"/>
        <v>3.5700000000000003</v>
      </c>
      <c r="N222" s="6">
        <f t="shared" si="14"/>
        <v>0.10490743461651485</v>
      </c>
      <c r="O222" s="4">
        <f t="shared" si="15"/>
        <v>3791.34</v>
      </c>
    </row>
    <row r="223" spans="1:15" x14ac:dyDescent="0.3">
      <c r="A223" s="3" t="s">
        <v>248</v>
      </c>
      <c r="B223" s="3" t="s">
        <v>23</v>
      </c>
      <c r="C223" s="5">
        <v>44792</v>
      </c>
      <c r="D223" s="5">
        <v>44804</v>
      </c>
      <c r="E223" s="3" t="s">
        <v>13</v>
      </c>
      <c r="F223" s="3" t="s">
        <v>18</v>
      </c>
      <c r="G223" s="3">
        <v>695</v>
      </c>
      <c r="H223" s="3">
        <v>76.8</v>
      </c>
      <c r="I223" s="3">
        <v>69.760000000000005</v>
      </c>
      <c r="J223" s="3"/>
      <c r="K223" s="3" t="s">
        <v>27</v>
      </c>
      <c r="L223" s="3">
        <f t="shared" si="12"/>
        <v>12</v>
      </c>
      <c r="M223" s="4">
        <f t="shared" si="13"/>
        <v>7.039999999999992</v>
      </c>
      <c r="N223" s="6">
        <f t="shared" si="14"/>
        <v>9.1666666666666563E-2</v>
      </c>
      <c r="O223" s="4">
        <f t="shared" si="15"/>
        <v>4892.7999999999947</v>
      </c>
    </row>
    <row r="224" spans="1:15" x14ac:dyDescent="0.3">
      <c r="A224" s="3" t="s">
        <v>249</v>
      </c>
      <c r="B224" s="3" t="s">
        <v>29</v>
      </c>
      <c r="C224" s="5">
        <v>44627</v>
      </c>
      <c r="D224" s="5">
        <v>44634</v>
      </c>
      <c r="E224" s="3" t="s">
        <v>21</v>
      </c>
      <c r="F224" s="3" t="s">
        <v>18</v>
      </c>
      <c r="G224" s="3">
        <v>845</v>
      </c>
      <c r="H224" s="3">
        <v>91.47</v>
      </c>
      <c r="I224" s="3">
        <v>86.97</v>
      </c>
      <c r="J224" s="3"/>
      <c r="K224" s="3" t="s">
        <v>15</v>
      </c>
      <c r="L224" s="3">
        <f t="shared" si="12"/>
        <v>7</v>
      </c>
      <c r="M224" s="4">
        <f t="shared" si="13"/>
        <v>4.5</v>
      </c>
      <c r="N224" s="6">
        <f t="shared" si="14"/>
        <v>4.9196457855034438E-2</v>
      </c>
      <c r="O224" s="4">
        <f t="shared" si="15"/>
        <v>3802.5</v>
      </c>
    </row>
    <row r="225" spans="1:15" x14ac:dyDescent="0.3">
      <c r="A225" s="3" t="s">
        <v>250</v>
      </c>
      <c r="B225" s="3" t="s">
        <v>20</v>
      </c>
      <c r="C225" s="5">
        <v>44908</v>
      </c>
      <c r="D225" s="5">
        <v>44913</v>
      </c>
      <c r="E225" s="3" t="s">
        <v>21</v>
      </c>
      <c r="F225" s="3" t="s">
        <v>18</v>
      </c>
      <c r="G225" s="3">
        <v>1101</v>
      </c>
      <c r="H225" s="3">
        <v>59.13</v>
      </c>
      <c r="I225" s="3">
        <v>52.51</v>
      </c>
      <c r="J225" s="3">
        <v>54</v>
      </c>
      <c r="K225" s="3" t="s">
        <v>15</v>
      </c>
      <c r="L225" s="3">
        <f t="shared" si="12"/>
        <v>5</v>
      </c>
      <c r="M225" s="4">
        <f t="shared" si="13"/>
        <v>6.6200000000000045</v>
      </c>
      <c r="N225" s="6">
        <f t="shared" si="14"/>
        <v>0.11195670556401158</v>
      </c>
      <c r="O225" s="4">
        <f t="shared" si="15"/>
        <v>7288.6200000000053</v>
      </c>
    </row>
    <row r="226" spans="1:15" x14ac:dyDescent="0.3">
      <c r="A226" s="3" t="s">
        <v>251</v>
      </c>
      <c r="B226" s="3" t="s">
        <v>20</v>
      </c>
      <c r="C226" s="5">
        <v>44583</v>
      </c>
      <c r="D226" s="5">
        <v>44585</v>
      </c>
      <c r="E226" s="3" t="s">
        <v>26</v>
      </c>
      <c r="F226" s="3" t="s">
        <v>18</v>
      </c>
      <c r="G226" s="3">
        <v>1693</v>
      </c>
      <c r="H226" s="3">
        <v>57.89</v>
      </c>
      <c r="I226" s="3">
        <v>49.84</v>
      </c>
      <c r="J226" s="3">
        <v>88</v>
      </c>
      <c r="K226" s="3" t="s">
        <v>15</v>
      </c>
      <c r="L226" s="3">
        <f t="shared" si="12"/>
        <v>2</v>
      </c>
      <c r="M226" s="4">
        <f t="shared" si="13"/>
        <v>8.0499999999999972</v>
      </c>
      <c r="N226" s="6">
        <f t="shared" si="14"/>
        <v>0.13905683192261181</v>
      </c>
      <c r="O226" s="4">
        <f t="shared" si="15"/>
        <v>13628.649999999996</v>
      </c>
    </row>
    <row r="227" spans="1:15" x14ac:dyDescent="0.3">
      <c r="A227" s="3" t="s">
        <v>252</v>
      </c>
      <c r="B227" s="3" t="s">
        <v>17</v>
      </c>
      <c r="C227" s="5">
        <v>45164</v>
      </c>
      <c r="D227" s="5">
        <v>45179</v>
      </c>
      <c r="E227" s="3" t="s">
        <v>13</v>
      </c>
      <c r="F227" s="3" t="s">
        <v>14</v>
      </c>
      <c r="G227" s="3">
        <v>1629</v>
      </c>
      <c r="H227" s="3">
        <v>21.51</v>
      </c>
      <c r="I227" s="3">
        <v>19.41</v>
      </c>
      <c r="J227" s="3">
        <v>250</v>
      </c>
      <c r="K227" s="3" t="s">
        <v>27</v>
      </c>
      <c r="L227" s="3">
        <f t="shared" si="12"/>
        <v>15</v>
      </c>
      <c r="M227" s="4">
        <f t="shared" si="13"/>
        <v>2.1000000000000014</v>
      </c>
      <c r="N227" s="6">
        <f t="shared" si="14"/>
        <v>9.7629009762901037E-2</v>
      </c>
      <c r="O227" s="4">
        <f t="shared" si="15"/>
        <v>3420.9000000000024</v>
      </c>
    </row>
    <row r="228" spans="1:15" x14ac:dyDescent="0.3">
      <c r="A228" s="3" t="s">
        <v>253</v>
      </c>
      <c r="B228" s="3" t="s">
        <v>17</v>
      </c>
      <c r="C228" s="5">
        <v>45129</v>
      </c>
      <c r="D228" s="5">
        <v>45141</v>
      </c>
      <c r="E228" s="3" t="s">
        <v>26</v>
      </c>
      <c r="F228" s="3" t="s">
        <v>18</v>
      </c>
      <c r="G228" s="3">
        <v>1413</v>
      </c>
      <c r="H228" s="3">
        <v>54.79</v>
      </c>
      <c r="I228" s="3">
        <v>50.42</v>
      </c>
      <c r="J228" s="3"/>
      <c r="K228" s="3" t="s">
        <v>15</v>
      </c>
      <c r="L228" s="3">
        <f t="shared" si="12"/>
        <v>12</v>
      </c>
      <c r="M228" s="4">
        <f t="shared" si="13"/>
        <v>4.3699999999999974</v>
      </c>
      <c r="N228" s="6">
        <f t="shared" si="14"/>
        <v>7.975908012411019E-2</v>
      </c>
      <c r="O228" s="4">
        <f t="shared" si="15"/>
        <v>6174.8099999999968</v>
      </c>
    </row>
    <row r="229" spans="1:15" x14ac:dyDescent="0.3">
      <c r="A229" s="3" t="s">
        <v>254</v>
      </c>
      <c r="B229" s="3" t="s">
        <v>29</v>
      </c>
      <c r="C229" s="5">
        <v>44797</v>
      </c>
      <c r="D229" s="5">
        <v>44800</v>
      </c>
      <c r="E229" s="3" t="s">
        <v>24</v>
      </c>
      <c r="F229" s="3" t="s">
        <v>18</v>
      </c>
      <c r="G229" s="3">
        <v>1871</v>
      </c>
      <c r="H229" s="3">
        <v>59.96</v>
      </c>
      <c r="I229" s="3">
        <v>58.54</v>
      </c>
      <c r="J229" s="3">
        <v>47</v>
      </c>
      <c r="K229" s="3" t="s">
        <v>15</v>
      </c>
      <c r="L229" s="3">
        <f t="shared" si="12"/>
        <v>3</v>
      </c>
      <c r="M229" s="4">
        <f t="shared" si="13"/>
        <v>1.4200000000000017</v>
      </c>
      <c r="N229" s="6">
        <f t="shared" si="14"/>
        <v>2.3682454969980015E-2</v>
      </c>
      <c r="O229" s="4">
        <f t="shared" si="15"/>
        <v>2656.8200000000033</v>
      </c>
    </row>
    <row r="230" spans="1:15" x14ac:dyDescent="0.3">
      <c r="A230" s="3" t="s">
        <v>255</v>
      </c>
      <c r="B230" s="3" t="s">
        <v>20</v>
      </c>
      <c r="C230" s="5">
        <v>45164</v>
      </c>
      <c r="D230" s="3"/>
      <c r="E230" s="3" t="s">
        <v>26</v>
      </c>
      <c r="F230" s="3" t="s">
        <v>18</v>
      </c>
      <c r="G230" s="3">
        <v>1404</v>
      </c>
      <c r="H230" s="3">
        <v>34.85</v>
      </c>
      <c r="I230" s="3">
        <v>30.5</v>
      </c>
      <c r="J230" s="3">
        <v>78</v>
      </c>
      <c r="K230" s="3" t="s">
        <v>15</v>
      </c>
      <c r="L230" s="3" t="str">
        <f t="shared" si="12"/>
        <v/>
      </c>
      <c r="M230" s="4">
        <f t="shared" si="13"/>
        <v>4.3500000000000014</v>
      </c>
      <c r="N230" s="6">
        <f t="shared" si="14"/>
        <v>0.12482065997130563</v>
      </c>
      <c r="O230" s="4">
        <f t="shared" si="15"/>
        <v>6107.4000000000024</v>
      </c>
    </row>
    <row r="231" spans="1:15" x14ac:dyDescent="0.3">
      <c r="A231" s="3" t="s">
        <v>256</v>
      </c>
      <c r="B231" s="3" t="s">
        <v>20</v>
      </c>
      <c r="C231" s="5">
        <v>44787</v>
      </c>
      <c r="D231" s="5">
        <v>44801</v>
      </c>
      <c r="E231" s="3" t="s">
        <v>39</v>
      </c>
      <c r="F231" s="3" t="s">
        <v>18</v>
      </c>
      <c r="G231" s="3">
        <v>1713</v>
      </c>
      <c r="H231" s="3">
        <v>35.43</v>
      </c>
      <c r="I231" s="3">
        <v>34.11</v>
      </c>
      <c r="J231" s="3">
        <v>74</v>
      </c>
      <c r="K231" s="3" t="s">
        <v>15</v>
      </c>
      <c r="L231" s="3">
        <f t="shared" si="12"/>
        <v>14</v>
      </c>
      <c r="M231" s="4">
        <f t="shared" si="13"/>
        <v>1.3200000000000003</v>
      </c>
      <c r="N231" s="6">
        <f t="shared" si="14"/>
        <v>3.7256562235393739E-2</v>
      </c>
      <c r="O231" s="4">
        <f t="shared" si="15"/>
        <v>2261.1600000000003</v>
      </c>
    </row>
    <row r="232" spans="1:15" x14ac:dyDescent="0.3">
      <c r="A232" s="3" t="s">
        <v>257</v>
      </c>
      <c r="B232" s="3" t="s">
        <v>20</v>
      </c>
      <c r="C232" s="5">
        <v>44569</v>
      </c>
      <c r="D232" s="5">
        <v>44574</v>
      </c>
      <c r="E232" s="3" t="s">
        <v>39</v>
      </c>
      <c r="F232" s="3" t="s">
        <v>18</v>
      </c>
      <c r="G232" s="3">
        <v>1579</v>
      </c>
      <c r="H232" s="3">
        <v>43.96</v>
      </c>
      <c r="I232" s="3">
        <v>43.41</v>
      </c>
      <c r="J232" s="3">
        <v>74</v>
      </c>
      <c r="K232" s="3" t="s">
        <v>15</v>
      </c>
      <c r="L232" s="3">
        <f t="shared" si="12"/>
        <v>5</v>
      </c>
      <c r="M232" s="4">
        <f t="shared" si="13"/>
        <v>0.55000000000000426</v>
      </c>
      <c r="N232" s="6">
        <f t="shared" si="14"/>
        <v>1.2511373976342227E-2</v>
      </c>
      <c r="O232" s="4">
        <f t="shared" si="15"/>
        <v>868.45000000000675</v>
      </c>
    </row>
    <row r="233" spans="1:15" x14ac:dyDescent="0.3">
      <c r="A233" s="3" t="s">
        <v>258</v>
      </c>
      <c r="B233" s="3" t="s">
        <v>20</v>
      </c>
      <c r="C233" s="5">
        <v>44634</v>
      </c>
      <c r="D233" s="5">
        <v>44646</v>
      </c>
      <c r="E233" s="3" t="s">
        <v>39</v>
      </c>
      <c r="F233" s="3" t="s">
        <v>18</v>
      </c>
      <c r="G233" s="3">
        <v>1421</v>
      </c>
      <c r="H233" s="3">
        <v>11.92</v>
      </c>
      <c r="I233" s="3">
        <v>11.72</v>
      </c>
      <c r="J233" s="3">
        <v>76</v>
      </c>
      <c r="K233" s="3" t="s">
        <v>15</v>
      </c>
      <c r="L233" s="3">
        <f t="shared" si="12"/>
        <v>12</v>
      </c>
      <c r="M233" s="4">
        <f t="shared" si="13"/>
        <v>0.19999999999999929</v>
      </c>
      <c r="N233" s="6">
        <f t="shared" si="14"/>
        <v>1.6778523489932827E-2</v>
      </c>
      <c r="O233" s="4">
        <f t="shared" si="15"/>
        <v>284.19999999999897</v>
      </c>
    </row>
    <row r="234" spans="1:15" x14ac:dyDescent="0.3">
      <c r="A234" s="3" t="s">
        <v>259</v>
      </c>
      <c r="B234" s="3" t="s">
        <v>29</v>
      </c>
      <c r="C234" s="5">
        <v>45286</v>
      </c>
      <c r="D234" s="5">
        <v>45295</v>
      </c>
      <c r="E234" s="3" t="s">
        <v>21</v>
      </c>
      <c r="F234" s="3" t="s">
        <v>18</v>
      </c>
      <c r="G234" s="3">
        <v>1546</v>
      </c>
      <c r="H234" s="3">
        <v>43.47</v>
      </c>
      <c r="I234" s="3">
        <v>37.369999999999997</v>
      </c>
      <c r="J234" s="3">
        <v>53</v>
      </c>
      <c r="K234" s="3" t="s">
        <v>15</v>
      </c>
      <c r="L234" s="3">
        <f t="shared" si="12"/>
        <v>9</v>
      </c>
      <c r="M234" s="4">
        <f t="shared" si="13"/>
        <v>6.1000000000000014</v>
      </c>
      <c r="N234" s="6">
        <f t="shared" si="14"/>
        <v>0.14032666206579253</v>
      </c>
      <c r="O234" s="4">
        <f t="shared" si="15"/>
        <v>9430.6000000000022</v>
      </c>
    </row>
    <row r="235" spans="1:15" x14ac:dyDescent="0.3">
      <c r="A235" s="3" t="s">
        <v>260</v>
      </c>
      <c r="B235" s="3" t="s">
        <v>17</v>
      </c>
      <c r="C235" s="5">
        <v>45208</v>
      </c>
      <c r="D235" s="5">
        <v>45217</v>
      </c>
      <c r="E235" s="3" t="s">
        <v>39</v>
      </c>
      <c r="F235" s="3" t="s">
        <v>18</v>
      </c>
      <c r="G235" s="3">
        <v>1304</v>
      </c>
      <c r="H235" s="3">
        <v>32.08</v>
      </c>
      <c r="I235" s="3">
        <v>29.36</v>
      </c>
      <c r="J235" s="3"/>
      <c r="K235" s="3" t="s">
        <v>15</v>
      </c>
      <c r="L235" s="3">
        <f t="shared" si="12"/>
        <v>9</v>
      </c>
      <c r="M235" s="4">
        <f t="shared" si="13"/>
        <v>2.7199999999999989</v>
      </c>
      <c r="N235" s="6">
        <f t="shared" si="14"/>
        <v>8.4788029925186997E-2</v>
      </c>
      <c r="O235" s="4">
        <f t="shared" si="15"/>
        <v>3546.8799999999983</v>
      </c>
    </row>
    <row r="236" spans="1:15" x14ac:dyDescent="0.3">
      <c r="A236" s="3" t="s">
        <v>261</v>
      </c>
      <c r="B236" s="3" t="s">
        <v>17</v>
      </c>
      <c r="C236" s="5">
        <v>44622</v>
      </c>
      <c r="D236" s="3"/>
      <c r="E236" s="3" t="s">
        <v>26</v>
      </c>
      <c r="F236" s="3" t="s">
        <v>18</v>
      </c>
      <c r="G236" s="3">
        <v>239</v>
      </c>
      <c r="H236" s="3">
        <v>39.869999999999997</v>
      </c>
      <c r="I236" s="3">
        <v>35.47</v>
      </c>
      <c r="J236" s="3">
        <v>32</v>
      </c>
      <c r="K236" s="3" t="s">
        <v>15</v>
      </c>
      <c r="L236" s="3" t="str">
        <f t="shared" si="12"/>
        <v/>
      </c>
      <c r="M236" s="4">
        <f t="shared" si="13"/>
        <v>4.3999999999999986</v>
      </c>
      <c r="N236" s="6">
        <f t="shared" si="14"/>
        <v>0.11035866566340605</v>
      </c>
      <c r="O236" s="4">
        <f t="shared" si="15"/>
        <v>1051.5999999999997</v>
      </c>
    </row>
    <row r="237" spans="1:15" x14ac:dyDescent="0.3">
      <c r="A237" s="3" t="s">
        <v>262</v>
      </c>
      <c r="B237" s="3" t="s">
        <v>12</v>
      </c>
      <c r="C237" s="5">
        <v>44796</v>
      </c>
      <c r="D237" s="3"/>
      <c r="E237" s="3" t="s">
        <v>13</v>
      </c>
      <c r="F237" s="3" t="s">
        <v>18</v>
      </c>
      <c r="G237" s="3">
        <v>1298</v>
      </c>
      <c r="H237" s="3">
        <v>21.51</v>
      </c>
      <c r="I237" s="3">
        <v>20.83</v>
      </c>
      <c r="J237" s="3"/>
      <c r="K237" s="3" t="s">
        <v>15</v>
      </c>
      <c r="L237" s="3" t="str">
        <f t="shared" si="12"/>
        <v/>
      </c>
      <c r="M237" s="4">
        <f t="shared" si="13"/>
        <v>0.68000000000000327</v>
      </c>
      <c r="N237" s="6">
        <f t="shared" si="14"/>
        <v>3.1613203161320463E-2</v>
      </c>
      <c r="O237" s="4">
        <f t="shared" si="15"/>
        <v>882.64000000000419</v>
      </c>
    </row>
    <row r="238" spans="1:15" x14ac:dyDescent="0.3">
      <c r="A238" s="3" t="s">
        <v>263</v>
      </c>
      <c r="B238" s="3" t="s">
        <v>17</v>
      </c>
      <c r="C238" s="5">
        <v>44631</v>
      </c>
      <c r="D238" s="3"/>
      <c r="E238" s="3" t="s">
        <v>21</v>
      </c>
      <c r="F238" s="3" t="s">
        <v>18</v>
      </c>
      <c r="G238" s="3">
        <v>1458</v>
      </c>
      <c r="H238" s="3">
        <v>91.05</v>
      </c>
      <c r="I238" s="3">
        <v>81.56</v>
      </c>
      <c r="J238" s="3">
        <v>220</v>
      </c>
      <c r="K238" s="3" t="s">
        <v>15</v>
      </c>
      <c r="L238" s="3" t="str">
        <f t="shared" si="12"/>
        <v/>
      </c>
      <c r="M238" s="4">
        <f t="shared" si="13"/>
        <v>9.4899999999999949</v>
      </c>
      <c r="N238" s="6">
        <f t="shared" si="14"/>
        <v>0.10422844590884124</v>
      </c>
      <c r="O238" s="4">
        <f t="shared" si="15"/>
        <v>13836.419999999993</v>
      </c>
    </row>
    <row r="239" spans="1:15" x14ac:dyDescent="0.3">
      <c r="A239" s="3" t="s">
        <v>264</v>
      </c>
      <c r="B239" s="3" t="s">
        <v>20</v>
      </c>
      <c r="C239" s="5">
        <v>44594</v>
      </c>
      <c r="D239" s="5">
        <v>44605</v>
      </c>
      <c r="E239" s="3" t="s">
        <v>21</v>
      </c>
      <c r="F239" s="3" t="s">
        <v>18</v>
      </c>
      <c r="G239" s="3">
        <v>1450</v>
      </c>
      <c r="H239" s="3">
        <v>63.74</v>
      </c>
      <c r="I239" s="3">
        <v>59.11</v>
      </c>
      <c r="J239" s="3">
        <v>71</v>
      </c>
      <c r="K239" s="3" t="s">
        <v>15</v>
      </c>
      <c r="L239" s="3">
        <f t="shared" si="12"/>
        <v>11</v>
      </c>
      <c r="M239" s="4">
        <f t="shared" si="13"/>
        <v>4.6300000000000026</v>
      </c>
      <c r="N239" s="6">
        <f t="shared" si="14"/>
        <v>7.2638845309068126E-2</v>
      </c>
      <c r="O239" s="4">
        <f t="shared" si="15"/>
        <v>6713.5000000000036</v>
      </c>
    </row>
    <row r="240" spans="1:15" x14ac:dyDescent="0.3">
      <c r="A240" s="3" t="s">
        <v>265</v>
      </c>
      <c r="B240" s="3" t="s">
        <v>23</v>
      </c>
      <c r="C240" s="5">
        <v>44900</v>
      </c>
      <c r="D240" s="5">
        <v>44915</v>
      </c>
      <c r="E240" s="3" t="s">
        <v>39</v>
      </c>
      <c r="F240" s="3" t="s">
        <v>18</v>
      </c>
      <c r="G240" s="3">
        <v>1356</v>
      </c>
      <c r="H240" s="3">
        <v>75.03</v>
      </c>
      <c r="I240" s="3">
        <v>63.86</v>
      </c>
      <c r="J240" s="3">
        <v>131</v>
      </c>
      <c r="K240" s="3" t="s">
        <v>15</v>
      </c>
      <c r="L240" s="3">
        <f t="shared" si="12"/>
        <v>15</v>
      </c>
      <c r="M240" s="4">
        <f t="shared" si="13"/>
        <v>11.170000000000002</v>
      </c>
      <c r="N240" s="6">
        <f t="shared" si="14"/>
        <v>0.14887378381980543</v>
      </c>
      <c r="O240" s="4">
        <f t="shared" si="15"/>
        <v>15146.520000000002</v>
      </c>
    </row>
    <row r="241" spans="1:15" x14ac:dyDescent="0.3">
      <c r="A241" s="3" t="s">
        <v>266</v>
      </c>
      <c r="B241" s="3" t="s">
        <v>20</v>
      </c>
      <c r="C241" s="5">
        <v>44634</v>
      </c>
      <c r="D241" s="3"/>
      <c r="E241" s="3" t="s">
        <v>24</v>
      </c>
      <c r="F241" s="3" t="s">
        <v>18</v>
      </c>
      <c r="G241" s="3">
        <v>682</v>
      </c>
      <c r="H241" s="3">
        <v>81.84</v>
      </c>
      <c r="I241" s="3">
        <v>71.86</v>
      </c>
      <c r="J241" s="3">
        <v>40</v>
      </c>
      <c r="K241" s="3" t="s">
        <v>15</v>
      </c>
      <c r="L241" s="3" t="str">
        <f t="shared" si="12"/>
        <v/>
      </c>
      <c r="M241" s="4">
        <f t="shared" si="13"/>
        <v>9.980000000000004</v>
      </c>
      <c r="N241" s="6">
        <f t="shared" si="14"/>
        <v>0.12194525904203328</v>
      </c>
      <c r="O241" s="4">
        <f t="shared" si="15"/>
        <v>6806.3600000000024</v>
      </c>
    </row>
    <row r="242" spans="1:15" x14ac:dyDescent="0.3">
      <c r="A242" s="3" t="s">
        <v>267</v>
      </c>
      <c r="B242" s="3" t="s">
        <v>20</v>
      </c>
      <c r="C242" s="5">
        <v>45088</v>
      </c>
      <c r="D242" s="5">
        <v>45096</v>
      </c>
      <c r="E242" s="3" t="s">
        <v>24</v>
      </c>
      <c r="F242" s="3" t="s">
        <v>18</v>
      </c>
      <c r="G242" s="3">
        <v>677</v>
      </c>
      <c r="H242" s="3">
        <v>59.52</v>
      </c>
      <c r="I242" s="3">
        <v>55.29</v>
      </c>
      <c r="J242" s="3">
        <v>39</v>
      </c>
      <c r="K242" s="3" t="s">
        <v>15</v>
      </c>
      <c r="L242" s="3">
        <f t="shared" si="12"/>
        <v>8</v>
      </c>
      <c r="M242" s="4">
        <f t="shared" si="13"/>
        <v>4.230000000000004</v>
      </c>
      <c r="N242" s="6">
        <f t="shared" si="14"/>
        <v>7.1068548387096836E-2</v>
      </c>
      <c r="O242" s="4">
        <f t="shared" si="15"/>
        <v>2863.7100000000028</v>
      </c>
    </row>
    <row r="243" spans="1:15" x14ac:dyDescent="0.3">
      <c r="A243" s="3" t="s">
        <v>268</v>
      </c>
      <c r="B243" s="3" t="s">
        <v>17</v>
      </c>
      <c r="C243" s="5">
        <v>44805</v>
      </c>
      <c r="D243" s="5">
        <v>44818</v>
      </c>
      <c r="E243" s="3" t="s">
        <v>13</v>
      </c>
      <c r="F243" s="3" t="s">
        <v>18</v>
      </c>
      <c r="G243" s="3">
        <v>1022</v>
      </c>
      <c r="H243" s="3">
        <v>18.54</v>
      </c>
      <c r="I243" s="3">
        <v>16.55</v>
      </c>
      <c r="J243" s="3">
        <v>150</v>
      </c>
      <c r="K243" s="3" t="s">
        <v>15</v>
      </c>
      <c r="L243" s="3">
        <f t="shared" si="12"/>
        <v>13</v>
      </c>
      <c r="M243" s="4">
        <f t="shared" si="13"/>
        <v>1.9899999999999984</v>
      </c>
      <c r="N243" s="6">
        <f t="shared" si="14"/>
        <v>0.10733549083063638</v>
      </c>
      <c r="O243" s="4">
        <f t="shared" si="15"/>
        <v>2033.7799999999984</v>
      </c>
    </row>
    <row r="244" spans="1:15" x14ac:dyDescent="0.3">
      <c r="A244" s="3" t="s">
        <v>269</v>
      </c>
      <c r="B244" s="3" t="s">
        <v>12</v>
      </c>
      <c r="C244" s="5">
        <v>44847</v>
      </c>
      <c r="D244" s="3"/>
      <c r="E244" s="3" t="s">
        <v>26</v>
      </c>
      <c r="F244" s="3" t="s">
        <v>18</v>
      </c>
      <c r="G244" s="3">
        <v>1818</v>
      </c>
      <c r="H244" s="3">
        <v>60.96</v>
      </c>
      <c r="I244" s="3">
        <v>57.13</v>
      </c>
      <c r="J244" s="3">
        <v>41</v>
      </c>
      <c r="K244" s="3" t="s">
        <v>15</v>
      </c>
      <c r="L244" s="3" t="str">
        <f t="shared" si="12"/>
        <v/>
      </c>
      <c r="M244" s="4">
        <f t="shared" si="13"/>
        <v>3.8299999999999983</v>
      </c>
      <c r="N244" s="6">
        <f t="shared" si="14"/>
        <v>6.2828083989501279E-2</v>
      </c>
      <c r="O244" s="4">
        <f t="shared" si="15"/>
        <v>6962.9399999999969</v>
      </c>
    </row>
    <row r="245" spans="1:15" x14ac:dyDescent="0.3">
      <c r="A245" s="3" t="s">
        <v>270</v>
      </c>
      <c r="B245" s="3" t="s">
        <v>29</v>
      </c>
      <c r="C245" s="5">
        <v>45247</v>
      </c>
      <c r="D245" s="5">
        <v>45259</v>
      </c>
      <c r="E245" s="3" t="s">
        <v>39</v>
      </c>
      <c r="F245" s="3" t="s">
        <v>18</v>
      </c>
      <c r="G245" s="3">
        <v>1332</v>
      </c>
      <c r="H245" s="3">
        <v>69.73</v>
      </c>
      <c r="I245" s="3">
        <v>63.8</v>
      </c>
      <c r="J245" s="3">
        <v>41</v>
      </c>
      <c r="K245" s="3" t="s">
        <v>15</v>
      </c>
      <c r="L245" s="3">
        <f t="shared" si="12"/>
        <v>12</v>
      </c>
      <c r="M245" s="4">
        <f t="shared" si="13"/>
        <v>5.9300000000000068</v>
      </c>
      <c r="N245" s="6">
        <f t="shared" si="14"/>
        <v>8.5042306037573595E-2</v>
      </c>
      <c r="O245" s="4">
        <f t="shared" si="15"/>
        <v>7898.7600000000093</v>
      </c>
    </row>
    <row r="246" spans="1:15" x14ac:dyDescent="0.3">
      <c r="A246" s="3" t="s">
        <v>271</v>
      </c>
      <c r="B246" s="3" t="s">
        <v>23</v>
      </c>
      <c r="C246" s="5">
        <v>45059</v>
      </c>
      <c r="D246" s="5">
        <v>45072</v>
      </c>
      <c r="E246" s="3" t="s">
        <v>26</v>
      </c>
      <c r="F246" s="3" t="s">
        <v>18</v>
      </c>
      <c r="G246" s="3">
        <v>1432</v>
      </c>
      <c r="H246" s="3">
        <v>83.26</v>
      </c>
      <c r="I246" s="3">
        <v>77.67</v>
      </c>
      <c r="J246" s="3">
        <v>174</v>
      </c>
      <c r="K246" s="3" t="s">
        <v>15</v>
      </c>
      <c r="L246" s="3">
        <f t="shared" si="12"/>
        <v>13</v>
      </c>
      <c r="M246" s="4">
        <f t="shared" si="13"/>
        <v>5.5900000000000034</v>
      </c>
      <c r="N246" s="6">
        <f t="shared" si="14"/>
        <v>6.7139082392505448E-2</v>
      </c>
      <c r="O246" s="4">
        <f t="shared" si="15"/>
        <v>8004.8800000000047</v>
      </c>
    </row>
    <row r="247" spans="1:15" x14ac:dyDescent="0.3">
      <c r="A247" s="3" t="s">
        <v>272</v>
      </c>
      <c r="B247" s="3" t="s">
        <v>23</v>
      </c>
      <c r="C247" s="5">
        <v>44781</v>
      </c>
      <c r="D247" s="5">
        <v>44799</v>
      </c>
      <c r="E247" s="3" t="s">
        <v>24</v>
      </c>
      <c r="F247" s="3" t="s">
        <v>35</v>
      </c>
      <c r="G247" s="3">
        <v>759</v>
      </c>
      <c r="H247" s="3">
        <v>50.56</v>
      </c>
      <c r="I247" s="3">
        <v>46.47</v>
      </c>
      <c r="J247" s="3">
        <v>63</v>
      </c>
      <c r="K247" s="3" t="s">
        <v>27</v>
      </c>
      <c r="L247" s="3">
        <f t="shared" si="12"/>
        <v>18</v>
      </c>
      <c r="M247" s="4">
        <f t="shared" si="13"/>
        <v>4.0900000000000034</v>
      </c>
      <c r="N247" s="6">
        <f t="shared" si="14"/>
        <v>8.0893987341772222E-2</v>
      </c>
      <c r="O247" s="4">
        <f t="shared" si="15"/>
        <v>3104.3100000000027</v>
      </c>
    </row>
    <row r="248" spans="1:15" x14ac:dyDescent="0.3">
      <c r="A248" s="3" t="s">
        <v>273</v>
      </c>
      <c r="B248" s="3" t="s">
        <v>12</v>
      </c>
      <c r="C248" s="5">
        <v>45114</v>
      </c>
      <c r="D248" s="5">
        <v>45126</v>
      </c>
      <c r="E248" s="3" t="s">
        <v>24</v>
      </c>
      <c r="F248" s="3" t="s">
        <v>18</v>
      </c>
      <c r="G248" s="3">
        <v>1529</v>
      </c>
      <c r="H248" s="3">
        <v>23.42</v>
      </c>
      <c r="I248" s="3">
        <v>22.44</v>
      </c>
      <c r="J248" s="3">
        <v>30</v>
      </c>
      <c r="K248" s="3" t="s">
        <v>15</v>
      </c>
      <c r="L248" s="3">
        <f t="shared" si="12"/>
        <v>12</v>
      </c>
      <c r="M248" s="4">
        <f t="shared" si="13"/>
        <v>0.98000000000000043</v>
      </c>
      <c r="N248" s="6">
        <f t="shared" si="14"/>
        <v>4.1844577284372346E-2</v>
      </c>
      <c r="O248" s="4">
        <f t="shared" si="15"/>
        <v>1498.4200000000008</v>
      </c>
    </row>
    <row r="249" spans="1:15" x14ac:dyDescent="0.3">
      <c r="A249" s="3" t="s">
        <v>274</v>
      </c>
      <c r="B249" s="3" t="s">
        <v>20</v>
      </c>
      <c r="C249" s="5">
        <v>44697</v>
      </c>
      <c r="D249" s="5">
        <v>44706</v>
      </c>
      <c r="E249" s="3" t="s">
        <v>39</v>
      </c>
      <c r="F249" s="3" t="s">
        <v>18</v>
      </c>
      <c r="G249" s="3">
        <v>1484</v>
      </c>
      <c r="H249" s="3">
        <v>36.25</v>
      </c>
      <c r="I249" s="3">
        <v>31.8</v>
      </c>
      <c r="J249" s="3">
        <v>61</v>
      </c>
      <c r="K249" s="3" t="s">
        <v>15</v>
      </c>
      <c r="L249" s="3">
        <f t="shared" si="12"/>
        <v>9</v>
      </c>
      <c r="M249" s="4">
        <f t="shared" si="13"/>
        <v>4.4499999999999993</v>
      </c>
      <c r="N249" s="6">
        <f t="shared" si="14"/>
        <v>0.12275862068965515</v>
      </c>
      <c r="O249" s="4">
        <f t="shared" si="15"/>
        <v>6603.7999999999993</v>
      </c>
    </row>
    <row r="250" spans="1:15" x14ac:dyDescent="0.3">
      <c r="A250" s="3" t="s">
        <v>275</v>
      </c>
      <c r="B250" s="3" t="s">
        <v>29</v>
      </c>
      <c r="C250" s="5">
        <v>45146</v>
      </c>
      <c r="D250" s="5">
        <v>45158</v>
      </c>
      <c r="E250" s="3" t="s">
        <v>24</v>
      </c>
      <c r="F250" s="3" t="s">
        <v>18</v>
      </c>
      <c r="G250" s="3">
        <v>698</v>
      </c>
      <c r="H250" s="3">
        <v>46.73</v>
      </c>
      <c r="I250" s="3">
        <v>45.61</v>
      </c>
      <c r="J250" s="3">
        <v>15</v>
      </c>
      <c r="K250" s="3" t="s">
        <v>15</v>
      </c>
      <c r="L250" s="3">
        <f t="shared" si="12"/>
        <v>12</v>
      </c>
      <c r="M250" s="4">
        <f t="shared" si="13"/>
        <v>1.1199999999999974</v>
      </c>
      <c r="N250" s="6">
        <f t="shared" si="14"/>
        <v>2.3967472715600204E-2</v>
      </c>
      <c r="O250" s="4">
        <f t="shared" si="15"/>
        <v>781.75999999999817</v>
      </c>
    </row>
    <row r="251" spans="1:15" x14ac:dyDescent="0.3">
      <c r="A251" s="3" t="s">
        <v>276</v>
      </c>
      <c r="B251" s="3" t="s">
        <v>29</v>
      </c>
      <c r="C251" s="5">
        <v>45152</v>
      </c>
      <c r="D251" s="5">
        <v>45160</v>
      </c>
      <c r="E251" s="3" t="s">
        <v>24</v>
      </c>
      <c r="F251" s="3" t="s">
        <v>35</v>
      </c>
      <c r="G251" s="3">
        <v>367</v>
      </c>
      <c r="H251" s="3">
        <v>74.61</v>
      </c>
      <c r="I251" s="3">
        <v>71.36</v>
      </c>
      <c r="J251" s="3">
        <v>13</v>
      </c>
      <c r="K251" s="3" t="s">
        <v>15</v>
      </c>
      <c r="L251" s="3">
        <f t="shared" si="12"/>
        <v>8</v>
      </c>
      <c r="M251" s="4">
        <f t="shared" si="13"/>
        <v>3.25</v>
      </c>
      <c r="N251" s="6">
        <f t="shared" si="14"/>
        <v>4.3559844524862619E-2</v>
      </c>
      <c r="O251" s="4">
        <f t="shared" si="15"/>
        <v>1192.75</v>
      </c>
    </row>
    <row r="252" spans="1:15" x14ac:dyDescent="0.3">
      <c r="A252" s="3" t="s">
        <v>277</v>
      </c>
      <c r="B252" s="3" t="s">
        <v>29</v>
      </c>
      <c r="C252" s="5">
        <v>45046</v>
      </c>
      <c r="D252" s="5">
        <v>45066</v>
      </c>
      <c r="E252" s="3" t="s">
        <v>13</v>
      </c>
      <c r="F252" s="3" t="s">
        <v>33</v>
      </c>
      <c r="G252" s="3">
        <v>1750</v>
      </c>
      <c r="H252" s="3">
        <v>65.97</v>
      </c>
      <c r="I252" s="3">
        <v>58.34</v>
      </c>
      <c r="J252" s="3">
        <v>50</v>
      </c>
      <c r="K252" s="3" t="s">
        <v>15</v>
      </c>
      <c r="L252" s="3">
        <f t="shared" si="12"/>
        <v>20</v>
      </c>
      <c r="M252" s="4">
        <f t="shared" si="13"/>
        <v>7.6299999999999955</v>
      </c>
      <c r="N252" s="6">
        <f t="shared" si="14"/>
        <v>0.11565863271183864</v>
      </c>
      <c r="O252" s="4">
        <f t="shared" si="15"/>
        <v>13352.499999999993</v>
      </c>
    </row>
    <row r="253" spans="1:15" x14ac:dyDescent="0.3">
      <c r="A253" s="3" t="s">
        <v>278</v>
      </c>
      <c r="B253" s="3" t="s">
        <v>17</v>
      </c>
      <c r="C253" s="5">
        <v>44810</v>
      </c>
      <c r="D253" s="5">
        <v>44828</v>
      </c>
      <c r="E253" s="3" t="s">
        <v>13</v>
      </c>
      <c r="F253" s="3" t="s">
        <v>33</v>
      </c>
      <c r="G253" s="3">
        <v>1298</v>
      </c>
      <c r="H253" s="3">
        <v>43.73</v>
      </c>
      <c r="I253" s="3">
        <v>37.21</v>
      </c>
      <c r="J253" s="3"/>
      <c r="K253" s="3" t="s">
        <v>27</v>
      </c>
      <c r="L253" s="3">
        <f t="shared" si="12"/>
        <v>18</v>
      </c>
      <c r="M253" s="4">
        <f t="shared" si="13"/>
        <v>6.519999999999996</v>
      </c>
      <c r="N253" s="6">
        <f t="shared" si="14"/>
        <v>0.14909672993368389</v>
      </c>
      <c r="O253" s="4">
        <f t="shared" si="15"/>
        <v>8462.9599999999955</v>
      </c>
    </row>
    <row r="254" spans="1:15" x14ac:dyDescent="0.3">
      <c r="A254" s="3" t="s">
        <v>279</v>
      </c>
      <c r="B254" s="3" t="s">
        <v>20</v>
      </c>
      <c r="C254" s="5">
        <v>45046</v>
      </c>
      <c r="D254" s="5">
        <v>45066</v>
      </c>
      <c r="E254" s="3" t="s">
        <v>24</v>
      </c>
      <c r="F254" s="3" t="s">
        <v>18</v>
      </c>
      <c r="G254" s="3">
        <v>1892</v>
      </c>
      <c r="H254" s="3">
        <v>106.2</v>
      </c>
      <c r="I254" s="3">
        <v>96.37</v>
      </c>
      <c r="J254" s="3">
        <v>93</v>
      </c>
      <c r="K254" s="3" t="s">
        <v>15</v>
      </c>
      <c r="L254" s="3">
        <f t="shared" si="12"/>
        <v>20</v>
      </c>
      <c r="M254" s="4">
        <f t="shared" si="13"/>
        <v>9.8299999999999983</v>
      </c>
      <c r="N254" s="6">
        <f t="shared" si="14"/>
        <v>9.2561205273069658E-2</v>
      </c>
      <c r="O254" s="4">
        <f t="shared" si="15"/>
        <v>18598.359999999997</v>
      </c>
    </row>
    <row r="255" spans="1:15" x14ac:dyDescent="0.3">
      <c r="A255" s="3" t="s">
        <v>280</v>
      </c>
      <c r="B255" s="3" t="s">
        <v>23</v>
      </c>
      <c r="C255" s="5">
        <v>44978</v>
      </c>
      <c r="D255" s="5">
        <v>44981</v>
      </c>
      <c r="E255" s="3" t="s">
        <v>39</v>
      </c>
      <c r="F255" s="3" t="s">
        <v>18</v>
      </c>
      <c r="G255" s="3">
        <v>1307</v>
      </c>
      <c r="H255" s="3">
        <v>68.709999999999994</v>
      </c>
      <c r="I255" s="3">
        <v>60.64</v>
      </c>
      <c r="J255" s="3">
        <v>141</v>
      </c>
      <c r="K255" s="3" t="s">
        <v>15</v>
      </c>
      <c r="L255" s="3">
        <f t="shared" si="12"/>
        <v>3</v>
      </c>
      <c r="M255" s="4">
        <f t="shared" si="13"/>
        <v>8.0699999999999932</v>
      </c>
      <c r="N255" s="6">
        <f t="shared" si="14"/>
        <v>0.11745015281618387</v>
      </c>
      <c r="O255" s="4">
        <f t="shared" si="15"/>
        <v>10547.489999999991</v>
      </c>
    </row>
    <row r="256" spans="1:15" x14ac:dyDescent="0.3">
      <c r="A256" s="3" t="s">
        <v>281</v>
      </c>
      <c r="B256" s="3" t="s">
        <v>23</v>
      </c>
      <c r="C256" s="5">
        <v>44756</v>
      </c>
      <c r="D256" s="5">
        <v>44771</v>
      </c>
      <c r="E256" s="3" t="s">
        <v>39</v>
      </c>
      <c r="F256" s="3" t="s">
        <v>18</v>
      </c>
      <c r="G256" s="3">
        <v>733</v>
      </c>
      <c r="H256" s="3">
        <v>32.29</v>
      </c>
      <c r="I256" s="3">
        <v>29.01</v>
      </c>
      <c r="J256" s="3">
        <v>78</v>
      </c>
      <c r="K256" s="3" t="s">
        <v>15</v>
      </c>
      <c r="L256" s="3">
        <f t="shared" si="12"/>
        <v>15</v>
      </c>
      <c r="M256" s="4">
        <f t="shared" si="13"/>
        <v>3.2799999999999976</v>
      </c>
      <c r="N256" s="6">
        <f t="shared" si="14"/>
        <v>0.1015794363580055</v>
      </c>
      <c r="O256" s="4">
        <f t="shared" si="15"/>
        <v>2404.2399999999984</v>
      </c>
    </row>
    <row r="257" spans="1:15" x14ac:dyDescent="0.3">
      <c r="A257" s="3" t="s">
        <v>282</v>
      </c>
      <c r="B257" s="3" t="s">
        <v>20</v>
      </c>
      <c r="C257" s="5">
        <v>44658</v>
      </c>
      <c r="D257" s="3"/>
      <c r="E257" s="3" t="s">
        <v>24</v>
      </c>
      <c r="F257" s="3" t="s">
        <v>18</v>
      </c>
      <c r="G257" s="3">
        <v>713</v>
      </c>
      <c r="H257" s="3">
        <v>19.45</v>
      </c>
      <c r="I257" s="3">
        <v>18.82</v>
      </c>
      <c r="J257" s="3">
        <v>31</v>
      </c>
      <c r="K257" s="3" t="s">
        <v>15</v>
      </c>
      <c r="L257" s="3" t="str">
        <f t="shared" si="12"/>
        <v/>
      </c>
      <c r="M257" s="4">
        <f t="shared" si="13"/>
        <v>0.62999999999999901</v>
      </c>
      <c r="N257" s="6">
        <f t="shared" si="14"/>
        <v>3.2390745501285297E-2</v>
      </c>
      <c r="O257" s="4">
        <f t="shared" si="15"/>
        <v>449.18999999999932</v>
      </c>
    </row>
    <row r="258" spans="1:15" x14ac:dyDescent="0.3">
      <c r="A258" s="3" t="s">
        <v>283</v>
      </c>
      <c r="B258" s="3" t="s">
        <v>23</v>
      </c>
      <c r="C258" s="5">
        <v>44661</v>
      </c>
      <c r="D258" s="5">
        <v>44675</v>
      </c>
      <c r="E258" s="3" t="s">
        <v>24</v>
      </c>
      <c r="F258" s="3" t="s">
        <v>18</v>
      </c>
      <c r="G258" s="3">
        <v>1900</v>
      </c>
      <c r="H258" s="3">
        <v>24.11</v>
      </c>
      <c r="I258" s="3">
        <v>23.45</v>
      </c>
      <c r="J258" s="3">
        <v>188</v>
      </c>
      <c r="K258" s="3" t="s">
        <v>15</v>
      </c>
      <c r="L258" s="3">
        <f t="shared" si="12"/>
        <v>14</v>
      </c>
      <c r="M258" s="4">
        <f t="shared" si="13"/>
        <v>0.66000000000000014</v>
      </c>
      <c r="N258" s="6">
        <f t="shared" si="14"/>
        <v>2.7374533388635429E-2</v>
      </c>
      <c r="O258" s="4">
        <f t="shared" si="15"/>
        <v>1254.0000000000002</v>
      </c>
    </row>
    <row r="259" spans="1:15" x14ac:dyDescent="0.3">
      <c r="A259" s="3" t="s">
        <v>284</v>
      </c>
      <c r="B259" s="3" t="s">
        <v>17</v>
      </c>
      <c r="C259" s="5">
        <v>45236</v>
      </c>
      <c r="D259" s="5">
        <v>45238</v>
      </c>
      <c r="E259" s="3" t="s">
        <v>21</v>
      </c>
      <c r="F259" s="3" t="s">
        <v>14</v>
      </c>
      <c r="G259" s="3">
        <v>1447</v>
      </c>
      <c r="H259" s="3">
        <v>35.67</v>
      </c>
      <c r="I259" s="3">
        <v>35.07</v>
      </c>
      <c r="J259" s="3">
        <v>224</v>
      </c>
      <c r="K259" s="3" t="s">
        <v>27</v>
      </c>
      <c r="L259" s="3">
        <f t="shared" ref="L259:L322" si="16">IF(OR(C259="",D259=""),"",D259-C259)</f>
        <v>2</v>
      </c>
      <c r="M259" s="4">
        <f t="shared" ref="M259:M322" si="17">H259-I259</f>
        <v>0.60000000000000142</v>
      </c>
      <c r="N259" s="6">
        <f t="shared" ref="N259:N322" si="18">IFERROR((H259-I259)/H259,0)</f>
        <v>1.682085786375109E-2</v>
      </c>
      <c r="O259" s="4">
        <f t="shared" ref="O259:O322" si="19">(H259-I259)*G259</f>
        <v>868.20000000000209</v>
      </c>
    </row>
    <row r="260" spans="1:15" x14ac:dyDescent="0.3">
      <c r="A260" s="3" t="s">
        <v>285</v>
      </c>
      <c r="B260" s="3" t="s">
        <v>29</v>
      </c>
      <c r="C260" s="5">
        <v>45003</v>
      </c>
      <c r="D260" s="3"/>
      <c r="E260" s="3" t="s">
        <v>13</v>
      </c>
      <c r="F260" s="3" t="s">
        <v>18</v>
      </c>
      <c r="G260" s="3">
        <v>1745</v>
      </c>
      <c r="H260" s="3">
        <v>26.17</v>
      </c>
      <c r="I260" s="3">
        <v>22.25</v>
      </c>
      <c r="J260" s="3">
        <v>55</v>
      </c>
      <c r="K260" s="3" t="s">
        <v>15</v>
      </c>
      <c r="L260" s="3" t="str">
        <f t="shared" si="16"/>
        <v/>
      </c>
      <c r="M260" s="4">
        <f t="shared" si="17"/>
        <v>3.9200000000000017</v>
      </c>
      <c r="N260" s="6">
        <f t="shared" si="18"/>
        <v>0.14978983568972112</v>
      </c>
      <c r="O260" s="4">
        <f t="shared" si="19"/>
        <v>6840.4000000000033</v>
      </c>
    </row>
    <row r="261" spans="1:15" x14ac:dyDescent="0.3">
      <c r="A261" s="3" t="s">
        <v>286</v>
      </c>
      <c r="B261" s="3" t="s">
        <v>23</v>
      </c>
      <c r="C261" s="5">
        <v>44924</v>
      </c>
      <c r="D261" s="5">
        <v>44940</v>
      </c>
      <c r="E261" s="3" t="s">
        <v>13</v>
      </c>
      <c r="F261" s="3" t="s">
        <v>18</v>
      </c>
      <c r="G261" s="3">
        <v>1681</v>
      </c>
      <c r="H261" s="3">
        <v>28.26</v>
      </c>
      <c r="I261" s="3">
        <v>26.62</v>
      </c>
      <c r="J261" s="3">
        <v>143</v>
      </c>
      <c r="K261" s="3" t="s">
        <v>15</v>
      </c>
      <c r="L261" s="3">
        <f t="shared" si="16"/>
        <v>16</v>
      </c>
      <c r="M261" s="4">
        <f t="shared" si="17"/>
        <v>1.6400000000000006</v>
      </c>
      <c r="N261" s="6">
        <f t="shared" si="18"/>
        <v>5.8032554847841492E-2</v>
      </c>
      <c r="O261" s="4">
        <f t="shared" si="19"/>
        <v>2756.8400000000011</v>
      </c>
    </row>
    <row r="262" spans="1:15" x14ac:dyDescent="0.3">
      <c r="A262" s="3" t="s">
        <v>287</v>
      </c>
      <c r="B262" s="3" t="s">
        <v>17</v>
      </c>
      <c r="C262" s="5">
        <v>44995</v>
      </c>
      <c r="D262" s="5">
        <v>45003</v>
      </c>
      <c r="E262" s="3" t="s">
        <v>39</v>
      </c>
      <c r="F262" s="3" t="s">
        <v>18</v>
      </c>
      <c r="G262" s="3">
        <v>1545</v>
      </c>
      <c r="H262" s="3">
        <v>38.15</v>
      </c>
      <c r="I262" s="3">
        <v>36.96</v>
      </c>
      <c r="J262" s="3">
        <v>214</v>
      </c>
      <c r="K262" s="3" t="s">
        <v>15</v>
      </c>
      <c r="L262" s="3">
        <f t="shared" si="16"/>
        <v>8</v>
      </c>
      <c r="M262" s="4">
        <f t="shared" si="17"/>
        <v>1.1899999999999977</v>
      </c>
      <c r="N262" s="6">
        <f t="shared" si="18"/>
        <v>3.1192660550458658E-2</v>
      </c>
      <c r="O262" s="4">
        <f t="shared" si="19"/>
        <v>1838.5499999999965</v>
      </c>
    </row>
    <row r="263" spans="1:15" x14ac:dyDescent="0.3">
      <c r="A263" s="3" t="s">
        <v>288</v>
      </c>
      <c r="B263" s="3" t="s">
        <v>29</v>
      </c>
      <c r="C263" s="5">
        <v>44982</v>
      </c>
      <c r="D263" s="5">
        <v>44987</v>
      </c>
      <c r="E263" s="3" t="s">
        <v>26</v>
      </c>
      <c r="F263" s="3" t="s">
        <v>18</v>
      </c>
      <c r="G263" s="3">
        <v>1306</v>
      </c>
      <c r="H263" s="3">
        <v>27.27</v>
      </c>
      <c r="I263" s="3">
        <v>25.96</v>
      </c>
      <c r="J263" s="3">
        <v>39</v>
      </c>
      <c r="K263" s="3" t="s">
        <v>15</v>
      </c>
      <c r="L263" s="3">
        <f t="shared" si="16"/>
        <v>5</v>
      </c>
      <c r="M263" s="4">
        <f t="shared" si="17"/>
        <v>1.3099999999999987</v>
      </c>
      <c r="N263" s="6">
        <f t="shared" si="18"/>
        <v>4.8038137147047993E-2</v>
      </c>
      <c r="O263" s="4">
        <f t="shared" si="19"/>
        <v>1710.8599999999983</v>
      </c>
    </row>
    <row r="264" spans="1:15" x14ac:dyDescent="0.3">
      <c r="A264" s="3" t="s">
        <v>289</v>
      </c>
      <c r="B264" s="3" t="s">
        <v>20</v>
      </c>
      <c r="C264" s="5">
        <v>45040</v>
      </c>
      <c r="D264" s="5">
        <v>45052</v>
      </c>
      <c r="E264" s="3" t="s">
        <v>26</v>
      </c>
      <c r="F264" s="3" t="s">
        <v>18</v>
      </c>
      <c r="G264" s="3">
        <v>1765</v>
      </c>
      <c r="H264" s="3">
        <v>97.51</v>
      </c>
      <c r="I264" s="3">
        <v>84.3</v>
      </c>
      <c r="J264" s="3">
        <v>65</v>
      </c>
      <c r="K264" s="3" t="s">
        <v>15</v>
      </c>
      <c r="L264" s="3">
        <f t="shared" si="16"/>
        <v>12</v>
      </c>
      <c r="M264" s="4">
        <f t="shared" si="17"/>
        <v>13.210000000000008</v>
      </c>
      <c r="N264" s="6">
        <f t="shared" si="18"/>
        <v>0.13547328479130352</v>
      </c>
      <c r="O264" s="4">
        <f t="shared" si="19"/>
        <v>23315.650000000012</v>
      </c>
    </row>
    <row r="265" spans="1:15" x14ac:dyDescent="0.3">
      <c r="A265" s="3" t="s">
        <v>290</v>
      </c>
      <c r="B265" s="3" t="s">
        <v>20</v>
      </c>
      <c r="C265" s="5">
        <v>44617</v>
      </c>
      <c r="D265" s="5">
        <v>44635</v>
      </c>
      <c r="E265" s="3" t="s">
        <v>24</v>
      </c>
      <c r="F265" s="3" t="s">
        <v>14</v>
      </c>
      <c r="G265" s="3">
        <v>1186</v>
      </c>
      <c r="H265" s="3">
        <v>17.309999999999999</v>
      </c>
      <c r="I265" s="3">
        <v>16</v>
      </c>
      <c r="J265" s="3">
        <v>64</v>
      </c>
      <c r="K265" s="3" t="s">
        <v>15</v>
      </c>
      <c r="L265" s="3">
        <f t="shared" si="16"/>
        <v>18</v>
      </c>
      <c r="M265" s="4">
        <f t="shared" si="17"/>
        <v>1.3099999999999987</v>
      </c>
      <c r="N265" s="6">
        <f t="shared" si="18"/>
        <v>7.5678798382437823E-2</v>
      </c>
      <c r="O265" s="4">
        <f t="shared" si="19"/>
        <v>1553.6599999999985</v>
      </c>
    </row>
    <row r="266" spans="1:15" x14ac:dyDescent="0.3">
      <c r="A266" s="3" t="s">
        <v>291</v>
      </c>
      <c r="B266" s="3" t="s">
        <v>17</v>
      </c>
      <c r="C266" s="5">
        <v>45251</v>
      </c>
      <c r="D266" s="5">
        <v>45256</v>
      </c>
      <c r="E266" s="3" t="s">
        <v>24</v>
      </c>
      <c r="F266" s="3" t="s">
        <v>18</v>
      </c>
      <c r="G266" s="3">
        <v>1903</v>
      </c>
      <c r="H266" s="3">
        <v>63.5</v>
      </c>
      <c r="I266" s="3">
        <v>56.09</v>
      </c>
      <c r="J266" s="3">
        <v>254</v>
      </c>
      <c r="K266" s="3" t="s">
        <v>15</v>
      </c>
      <c r="L266" s="3">
        <f t="shared" si="16"/>
        <v>5</v>
      </c>
      <c r="M266" s="4">
        <f t="shared" si="17"/>
        <v>7.4099999999999966</v>
      </c>
      <c r="N266" s="6">
        <f t="shared" si="18"/>
        <v>0.11669291338582671</v>
      </c>
      <c r="O266" s="4">
        <f t="shared" si="19"/>
        <v>14101.229999999994</v>
      </c>
    </row>
    <row r="267" spans="1:15" x14ac:dyDescent="0.3">
      <c r="A267" s="3" t="s">
        <v>292</v>
      </c>
      <c r="B267" s="3" t="s">
        <v>17</v>
      </c>
      <c r="C267" s="5">
        <v>45231</v>
      </c>
      <c r="D267" s="5">
        <v>45235</v>
      </c>
      <c r="E267" s="3" t="s">
        <v>21</v>
      </c>
      <c r="F267" s="3" t="s">
        <v>18</v>
      </c>
      <c r="G267" s="3">
        <v>1570</v>
      </c>
      <c r="H267" s="3">
        <v>52.1</v>
      </c>
      <c r="I267" s="3">
        <v>47.87</v>
      </c>
      <c r="J267" s="3"/>
      <c r="K267" s="3" t="s">
        <v>27</v>
      </c>
      <c r="L267" s="3">
        <f t="shared" si="16"/>
        <v>4</v>
      </c>
      <c r="M267" s="4">
        <f t="shared" si="17"/>
        <v>4.230000000000004</v>
      </c>
      <c r="N267" s="6">
        <f t="shared" si="18"/>
        <v>8.1190019193858043E-2</v>
      </c>
      <c r="O267" s="4">
        <f t="shared" si="19"/>
        <v>6641.1000000000058</v>
      </c>
    </row>
    <row r="268" spans="1:15" x14ac:dyDescent="0.3">
      <c r="A268" s="3" t="s">
        <v>293</v>
      </c>
      <c r="B268" s="3" t="s">
        <v>17</v>
      </c>
      <c r="C268" s="5">
        <v>45223</v>
      </c>
      <c r="D268" s="5">
        <v>45243</v>
      </c>
      <c r="E268" s="3" t="s">
        <v>21</v>
      </c>
      <c r="F268" s="3" t="s">
        <v>18</v>
      </c>
      <c r="G268" s="3">
        <v>491</v>
      </c>
      <c r="H268" s="3">
        <v>108.75</v>
      </c>
      <c r="I268" s="3">
        <v>93.35</v>
      </c>
      <c r="J268" s="3"/>
      <c r="K268" s="3" t="s">
        <v>27</v>
      </c>
      <c r="L268" s="3">
        <f t="shared" si="16"/>
        <v>20</v>
      </c>
      <c r="M268" s="4">
        <f t="shared" si="17"/>
        <v>15.400000000000006</v>
      </c>
      <c r="N268" s="6">
        <f t="shared" si="18"/>
        <v>0.14160919540229891</v>
      </c>
      <c r="O268" s="4">
        <f t="shared" si="19"/>
        <v>7561.4000000000024</v>
      </c>
    </row>
    <row r="269" spans="1:15" x14ac:dyDescent="0.3">
      <c r="A269" s="3" t="s">
        <v>294</v>
      </c>
      <c r="B269" s="3" t="s">
        <v>23</v>
      </c>
      <c r="C269" s="5">
        <v>44662</v>
      </c>
      <c r="D269" s="5">
        <v>44671</v>
      </c>
      <c r="E269" s="3" t="s">
        <v>39</v>
      </c>
      <c r="F269" s="3" t="s">
        <v>33</v>
      </c>
      <c r="G269" s="3">
        <v>613</v>
      </c>
      <c r="H269" s="3">
        <v>20.38</v>
      </c>
      <c r="I269" s="3">
        <v>20.170000000000002</v>
      </c>
      <c r="J269" s="3">
        <v>58</v>
      </c>
      <c r="K269" s="3" t="s">
        <v>15</v>
      </c>
      <c r="L269" s="3">
        <f t="shared" si="16"/>
        <v>9</v>
      </c>
      <c r="M269" s="4">
        <f t="shared" si="17"/>
        <v>0.2099999999999973</v>
      </c>
      <c r="N269" s="6">
        <f t="shared" si="18"/>
        <v>1.03042198233561E-2</v>
      </c>
      <c r="O269" s="4">
        <f t="shared" si="19"/>
        <v>128.72999999999834</v>
      </c>
    </row>
    <row r="270" spans="1:15" x14ac:dyDescent="0.3">
      <c r="A270" s="3" t="s">
        <v>295</v>
      </c>
      <c r="B270" s="3" t="s">
        <v>20</v>
      </c>
      <c r="C270" s="5">
        <v>44624</v>
      </c>
      <c r="D270" s="5">
        <v>44636</v>
      </c>
      <c r="E270" s="3" t="s">
        <v>26</v>
      </c>
      <c r="F270" s="3" t="s">
        <v>33</v>
      </c>
      <c r="G270" s="3">
        <v>1341</v>
      </c>
      <c r="H270" s="3">
        <v>46.27</v>
      </c>
      <c r="I270" s="3">
        <v>43.94</v>
      </c>
      <c r="J270" s="3">
        <v>63</v>
      </c>
      <c r="K270" s="3" t="s">
        <v>15</v>
      </c>
      <c r="L270" s="3">
        <f t="shared" si="16"/>
        <v>12</v>
      </c>
      <c r="M270" s="4">
        <f t="shared" si="17"/>
        <v>2.3300000000000054</v>
      </c>
      <c r="N270" s="6">
        <f t="shared" si="18"/>
        <v>5.0356602550248653E-2</v>
      </c>
      <c r="O270" s="4">
        <f t="shared" si="19"/>
        <v>3124.530000000007</v>
      </c>
    </row>
    <row r="271" spans="1:15" x14ac:dyDescent="0.3">
      <c r="A271" s="3" t="s">
        <v>296</v>
      </c>
      <c r="B271" s="3" t="s">
        <v>23</v>
      </c>
      <c r="C271" s="5">
        <v>44974</v>
      </c>
      <c r="D271" s="5">
        <v>44989</v>
      </c>
      <c r="E271" s="3" t="s">
        <v>21</v>
      </c>
      <c r="F271" s="3" t="s">
        <v>33</v>
      </c>
      <c r="G271" s="3">
        <v>1583</v>
      </c>
      <c r="H271" s="3">
        <v>103.57</v>
      </c>
      <c r="I271" s="3">
        <v>89.38</v>
      </c>
      <c r="J271" s="3">
        <v>164</v>
      </c>
      <c r="K271" s="3" t="s">
        <v>15</v>
      </c>
      <c r="L271" s="3">
        <f t="shared" si="16"/>
        <v>15</v>
      </c>
      <c r="M271" s="4">
        <f t="shared" si="17"/>
        <v>14.189999999999998</v>
      </c>
      <c r="N271" s="6">
        <f t="shared" si="18"/>
        <v>0.13700878632808727</v>
      </c>
      <c r="O271" s="4">
        <f t="shared" si="19"/>
        <v>22462.769999999997</v>
      </c>
    </row>
    <row r="272" spans="1:15" x14ac:dyDescent="0.3">
      <c r="A272" s="3" t="s">
        <v>297</v>
      </c>
      <c r="B272" s="3" t="s">
        <v>23</v>
      </c>
      <c r="C272" s="5">
        <v>44909</v>
      </c>
      <c r="D272" s="3"/>
      <c r="E272" s="3" t="s">
        <v>26</v>
      </c>
      <c r="F272" s="3" t="s">
        <v>14</v>
      </c>
      <c r="G272" s="3">
        <v>1880</v>
      </c>
      <c r="H272" s="3">
        <v>92.73</v>
      </c>
      <c r="I272" s="3">
        <v>90.78</v>
      </c>
      <c r="J272" s="3">
        <v>173</v>
      </c>
      <c r="K272" s="3" t="s">
        <v>15</v>
      </c>
      <c r="L272" s="3" t="str">
        <f t="shared" si="16"/>
        <v/>
      </c>
      <c r="M272" s="4">
        <f t="shared" si="17"/>
        <v>1.9500000000000028</v>
      </c>
      <c r="N272" s="6">
        <f t="shared" si="18"/>
        <v>2.1028793270786182E-2</v>
      </c>
      <c r="O272" s="4">
        <f t="shared" si="19"/>
        <v>3666.0000000000055</v>
      </c>
    </row>
    <row r="273" spans="1:15" x14ac:dyDescent="0.3">
      <c r="A273" s="3" t="s">
        <v>298</v>
      </c>
      <c r="B273" s="3" t="s">
        <v>29</v>
      </c>
      <c r="C273" s="5">
        <v>44673</v>
      </c>
      <c r="D273" s="5">
        <v>44677</v>
      </c>
      <c r="E273" s="3" t="s">
        <v>21</v>
      </c>
      <c r="F273" s="3" t="s">
        <v>18</v>
      </c>
      <c r="G273" s="3">
        <v>1459</v>
      </c>
      <c r="H273" s="3">
        <v>84.79</v>
      </c>
      <c r="I273" s="3">
        <v>82.72</v>
      </c>
      <c r="J273" s="3">
        <v>47</v>
      </c>
      <c r="K273" s="3" t="s">
        <v>15</v>
      </c>
      <c r="L273" s="3">
        <f t="shared" si="16"/>
        <v>4</v>
      </c>
      <c r="M273" s="4">
        <f t="shared" si="17"/>
        <v>2.0700000000000074</v>
      </c>
      <c r="N273" s="6">
        <f t="shared" si="18"/>
        <v>2.4413256280221809E-2</v>
      </c>
      <c r="O273" s="4">
        <f t="shared" si="19"/>
        <v>3020.1300000000106</v>
      </c>
    </row>
    <row r="274" spans="1:15" x14ac:dyDescent="0.3">
      <c r="A274" s="3" t="s">
        <v>299</v>
      </c>
      <c r="B274" s="3" t="s">
        <v>17</v>
      </c>
      <c r="C274" s="5">
        <v>44816</v>
      </c>
      <c r="D274" s="3"/>
      <c r="E274" s="3" t="s">
        <v>13</v>
      </c>
      <c r="F274" s="3" t="s">
        <v>18</v>
      </c>
      <c r="G274" s="3">
        <v>1460</v>
      </c>
      <c r="H274" s="3">
        <v>34.54</v>
      </c>
      <c r="I274" s="3">
        <v>31.87</v>
      </c>
      <c r="J274" s="3">
        <v>208</v>
      </c>
      <c r="K274" s="3" t="s">
        <v>27</v>
      </c>
      <c r="L274" s="3" t="str">
        <f t="shared" si="16"/>
        <v/>
      </c>
      <c r="M274" s="4">
        <f t="shared" si="17"/>
        <v>2.6699999999999982</v>
      </c>
      <c r="N274" s="6">
        <f t="shared" si="18"/>
        <v>7.7301679212507191E-2</v>
      </c>
      <c r="O274" s="4">
        <f t="shared" si="19"/>
        <v>3898.1999999999971</v>
      </c>
    </row>
    <row r="275" spans="1:15" x14ac:dyDescent="0.3">
      <c r="A275" s="3" t="s">
        <v>300</v>
      </c>
      <c r="B275" s="3" t="s">
        <v>23</v>
      </c>
      <c r="C275" s="5">
        <v>44758</v>
      </c>
      <c r="D275" s="5">
        <v>44770</v>
      </c>
      <c r="E275" s="3" t="s">
        <v>24</v>
      </c>
      <c r="F275" s="3" t="s">
        <v>33</v>
      </c>
      <c r="G275" s="3">
        <v>1186</v>
      </c>
      <c r="H275" s="3">
        <v>26.14</v>
      </c>
      <c r="I275" s="3">
        <v>24.78</v>
      </c>
      <c r="J275" s="3">
        <v>112</v>
      </c>
      <c r="K275" s="3" t="s">
        <v>15</v>
      </c>
      <c r="L275" s="3">
        <f t="shared" si="16"/>
        <v>12</v>
      </c>
      <c r="M275" s="4">
        <f t="shared" si="17"/>
        <v>1.3599999999999994</v>
      </c>
      <c r="N275" s="6">
        <f t="shared" si="18"/>
        <v>5.2027543993879093E-2</v>
      </c>
      <c r="O275" s="4">
        <f t="shared" si="19"/>
        <v>1612.9599999999994</v>
      </c>
    </row>
    <row r="276" spans="1:15" x14ac:dyDescent="0.3">
      <c r="A276" s="3" t="s">
        <v>301</v>
      </c>
      <c r="B276" s="3" t="s">
        <v>29</v>
      </c>
      <c r="C276" s="5">
        <v>44756</v>
      </c>
      <c r="D276" s="5">
        <v>44765</v>
      </c>
      <c r="E276" s="3" t="s">
        <v>21</v>
      </c>
      <c r="F276" s="3" t="s">
        <v>35</v>
      </c>
      <c r="G276" s="3">
        <v>1686</v>
      </c>
      <c r="H276" s="3">
        <v>72.28</v>
      </c>
      <c r="I276" s="3">
        <v>65.209999999999994</v>
      </c>
      <c r="J276" s="3">
        <v>53</v>
      </c>
      <c r="K276" s="3" t="s">
        <v>15</v>
      </c>
      <c r="L276" s="3">
        <f t="shared" si="16"/>
        <v>9</v>
      </c>
      <c r="M276" s="4">
        <f t="shared" si="17"/>
        <v>7.0700000000000074</v>
      </c>
      <c r="N276" s="6">
        <f t="shared" si="18"/>
        <v>9.7814056447150077E-2</v>
      </c>
      <c r="O276" s="4">
        <f t="shared" si="19"/>
        <v>11920.020000000013</v>
      </c>
    </row>
    <row r="277" spans="1:15" x14ac:dyDescent="0.3">
      <c r="A277" s="3" t="s">
        <v>302</v>
      </c>
      <c r="B277" s="3" t="s">
        <v>12</v>
      </c>
      <c r="C277" s="5">
        <v>45111</v>
      </c>
      <c r="D277" s="5">
        <v>45115</v>
      </c>
      <c r="E277" s="3" t="s">
        <v>21</v>
      </c>
      <c r="F277" s="3" t="s">
        <v>18</v>
      </c>
      <c r="G277" s="3">
        <v>1698</v>
      </c>
      <c r="H277" s="3">
        <v>102.07</v>
      </c>
      <c r="I277" s="3">
        <v>100.69</v>
      </c>
      <c r="J277" s="3">
        <v>28</v>
      </c>
      <c r="K277" s="3" t="s">
        <v>15</v>
      </c>
      <c r="L277" s="3">
        <f t="shared" si="16"/>
        <v>4</v>
      </c>
      <c r="M277" s="4">
        <f t="shared" si="17"/>
        <v>1.3799999999999955</v>
      </c>
      <c r="N277" s="6">
        <f t="shared" si="18"/>
        <v>1.3520133241892775E-2</v>
      </c>
      <c r="O277" s="4">
        <f t="shared" si="19"/>
        <v>2343.2399999999925</v>
      </c>
    </row>
    <row r="278" spans="1:15" x14ac:dyDescent="0.3">
      <c r="A278" s="3" t="s">
        <v>303</v>
      </c>
      <c r="B278" s="3" t="s">
        <v>29</v>
      </c>
      <c r="C278" s="5">
        <v>45021</v>
      </c>
      <c r="D278" s="3"/>
      <c r="E278" s="3" t="s">
        <v>39</v>
      </c>
      <c r="F278" s="3" t="s">
        <v>18</v>
      </c>
      <c r="G278" s="3">
        <v>1001</v>
      </c>
      <c r="H278" s="3">
        <v>64.62</v>
      </c>
      <c r="I278" s="3">
        <v>55.7</v>
      </c>
      <c r="J278" s="3">
        <v>32</v>
      </c>
      <c r="K278" s="3" t="s">
        <v>15</v>
      </c>
      <c r="L278" s="3" t="str">
        <f t="shared" si="16"/>
        <v/>
      </c>
      <c r="M278" s="4">
        <f t="shared" si="17"/>
        <v>8.9200000000000017</v>
      </c>
      <c r="N278" s="6">
        <f t="shared" si="18"/>
        <v>0.13803775920767566</v>
      </c>
      <c r="O278" s="4">
        <f t="shared" si="19"/>
        <v>8928.9200000000019</v>
      </c>
    </row>
    <row r="279" spans="1:15" x14ac:dyDescent="0.3">
      <c r="A279" s="3" t="s">
        <v>304</v>
      </c>
      <c r="B279" s="3" t="s">
        <v>12</v>
      </c>
      <c r="C279" s="5">
        <v>44705</v>
      </c>
      <c r="D279" s="5">
        <v>44708</v>
      </c>
      <c r="E279" s="3" t="s">
        <v>13</v>
      </c>
      <c r="F279" s="3" t="s">
        <v>18</v>
      </c>
      <c r="G279" s="3">
        <v>1154</v>
      </c>
      <c r="H279" s="3">
        <v>62.67</v>
      </c>
      <c r="I279" s="3">
        <v>54.11</v>
      </c>
      <c r="J279" s="3">
        <v>25</v>
      </c>
      <c r="K279" s="3" t="s">
        <v>15</v>
      </c>
      <c r="L279" s="3">
        <f t="shared" si="16"/>
        <v>3</v>
      </c>
      <c r="M279" s="4">
        <f t="shared" si="17"/>
        <v>8.5600000000000023</v>
      </c>
      <c r="N279" s="6">
        <f t="shared" si="18"/>
        <v>0.13658847933620555</v>
      </c>
      <c r="O279" s="4">
        <f t="shared" si="19"/>
        <v>9878.2400000000034</v>
      </c>
    </row>
    <row r="280" spans="1:15" x14ac:dyDescent="0.3">
      <c r="A280" s="3" t="s">
        <v>305</v>
      </c>
      <c r="B280" s="3" t="s">
        <v>12</v>
      </c>
      <c r="C280" s="5">
        <v>44994</v>
      </c>
      <c r="D280" s="5">
        <v>45014</v>
      </c>
      <c r="E280" s="3" t="s">
        <v>24</v>
      </c>
      <c r="F280" s="3" t="s">
        <v>14</v>
      </c>
      <c r="G280" s="3">
        <v>748</v>
      </c>
      <c r="H280" s="3">
        <v>37.659999999999997</v>
      </c>
      <c r="I280" s="3">
        <v>32.71</v>
      </c>
      <c r="J280" s="3"/>
      <c r="K280" s="3" t="s">
        <v>27</v>
      </c>
      <c r="L280" s="3">
        <f t="shared" si="16"/>
        <v>20</v>
      </c>
      <c r="M280" s="4">
        <f t="shared" si="17"/>
        <v>4.9499999999999957</v>
      </c>
      <c r="N280" s="6">
        <f t="shared" si="18"/>
        <v>0.13143919277748264</v>
      </c>
      <c r="O280" s="4">
        <f t="shared" si="19"/>
        <v>3702.5999999999967</v>
      </c>
    </row>
    <row r="281" spans="1:15" x14ac:dyDescent="0.3">
      <c r="A281" s="3" t="s">
        <v>306</v>
      </c>
      <c r="B281" s="3" t="s">
        <v>12</v>
      </c>
      <c r="C281" s="5">
        <v>44749</v>
      </c>
      <c r="D281" s="3"/>
      <c r="E281" s="3" t="s">
        <v>13</v>
      </c>
      <c r="F281" s="3" t="s">
        <v>18</v>
      </c>
      <c r="G281" s="3">
        <v>162</v>
      </c>
      <c r="H281" s="3">
        <v>81.63</v>
      </c>
      <c r="I281" s="3">
        <v>78.760000000000005</v>
      </c>
      <c r="J281" s="3">
        <v>2</v>
      </c>
      <c r="K281" s="3" t="s">
        <v>15</v>
      </c>
      <c r="L281" s="3" t="str">
        <f t="shared" si="16"/>
        <v/>
      </c>
      <c r="M281" s="4">
        <f t="shared" si="17"/>
        <v>2.8699999999999903</v>
      </c>
      <c r="N281" s="6">
        <f t="shared" si="18"/>
        <v>3.5158642655886196E-2</v>
      </c>
      <c r="O281" s="4">
        <f t="shared" si="19"/>
        <v>464.93999999999846</v>
      </c>
    </row>
    <row r="282" spans="1:15" x14ac:dyDescent="0.3">
      <c r="A282" s="3" t="s">
        <v>307</v>
      </c>
      <c r="B282" s="3" t="s">
        <v>12</v>
      </c>
      <c r="C282" s="5">
        <v>44847</v>
      </c>
      <c r="D282" s="5">
        <v>44858</v>
      </c>
      <c r="E282" s="3" t="s">
        <v>24</v>
      </c>
      <c r="F282" s="3" t="s">
        <v>18</v>
      </c>
      <c r="G282" s="3">
        <v>51</v>
      </c>
      <c r="H282" s="3">
        <v>28.04</v>
      </c>
      <c r="I282" s="3">
        <v>24.13</v>
      </c>
      <c r="J282" s="3">
        <v>0</v>
      </c>
      <c r="K282" s="3" t="s">
        <v>15</v>
      </c>
      <c r="L282" s="3">
        <f t="shared" si="16"/>
        <v>11</v>
      </c>
      <c r="M282" s="4">
        <f t="shared" si="17"/>
        <v>3.91</v>
      </c>
      <c r="N282" s="6">
        <f t="shared" si="18"/>
        <v>0.13944365192582026</v>
      </c>
      <c r="O282" s="4">
        <f t="shared" si="19"/>
        <v>199.41</v>
      </c>
    </row>
    <row r="283" spans="1:15" x14ac:dyDescent="0.3">
      <c r="A283" s="3" t="s">
        <v>308</v>
      </c>
      <c r="B283" s="3" t="s">
        <v>17</v>
      </c>
      <c r="C283" s="5">
        <v>45035</v>
      </c>
      <c r="D283" s="5">
        <v>45040</v>
      </c>
      <c r="E283" s="3" t="s">
        <v>13</v>
      </c>
      <c r="F283" s="3" t="s">
        <v>18</v>
      </c>
      <c r="G283" s="3">
        <v>691</v>
      </c>
      <c r="H283" s="3">
        <v>42.07</v>
      </c>
      <c r="I283" s="3">
        <v>39.1</v>
      </c>
      <c r="J283" s="3">
        <v>106</v>
      </c>
      <c r="K283" s="3" t="s">
        <v>15</v>
      </c>
      <c r="L283" s="3">
        <f t="shared" si="16"/>
        <v>5</v>
      </c>
      <c r="M283" s="4">
        <f t="shared" si="17"/>
        <v>2.9699999999999989</v>
      </c>
      <c r="N283" s="6">
        <f t="shared" si="18"/>
        <v>7.0596624673163744E-2</v>
      </c>
      <c r="O283" s="4">
        <f t="shared" si="19"/>
        <v>2052.2699999999991</v>
      </c>
    </row>
    <row r="284" spans="1:15" x14ac:dyDescent="0.3">
      <c r="A284" s="3" t="s">
        <v>309</v>
      </c>
      <c r="B284" s="3" t="s">
        <v>23</v>
      </c>
      <c r="C284" s="5">
        <v>44817</v>
      </c>
      <c r="D284" s="5">
        <v>44824</v>
      </c>
      <c r="E284" s="3" t="s">
        <v>13</v>
      </c>
      <c r="F284" s="3" t="s">
        <v>18</v>
      </c>
      <c r="G284" s="3">
        <v>269</v>
      </c>
      <c r="H284" s="3">
        <v>50.22</v>
      </c>
      <c r="I284" s="3">
        <v>45.75</v>
      </c>
      <c r="J284" s="3">
        <v>32</v>
      </c>
      <c r="K284" s="3" t="s">
        <v>27</v>
      </c>
      <c r="L284" s="3">
        <f t="shared" si="16"/>
        <v>7</v>
      </c>
      <c r="M284" s="4">
        <f t="shared" si="17"/>
        <v>4.4699999999999989</v>
      </c>
      <c r="N284" s="6">
        <f t="shared" si="18"/>
        <v>8.9008363201911564E-2</v>
      </c>
      <c r="O284" s="4">
        <f t="shared" si="19"/>
        <v>1202.4299999999996</v>
      </c>
    </row>
    <row r="285" spans="1:15" x14ac:dyDescent="0.3">
      <c r="A285" s="3" t="s">
        <v>310</v>
      </c>
      <c r="B285" s="3" t="s">
        <v>23</v>
      </c>
      <c r="C285" s="5">
        <v>44639</v>
      </c>
      <c r="D285" s="5">
        <v>44657</v>
      </c>
      <c r="E285" s="3" t="s">
        <v>39</v>
      </c>
      <c r="F285" s="3" t="s">
        <v>35</v>
      </c>
      <c r="G285" s="3">
        <v>1639</v>
      </c>
      <c r="H285" s="3">
        <v>56.24</v>
      </c>
      <c r="I285" s="3">
        <v>55.4</v>
      </c>
      <c r="J285" s="3">
        <v>147</v>
      </c>
      <c r="K285" s="3" t="s">
        <v>15</v>
      </c>
      <c r="L285" s="3">
        <f t="shared" si="16"/>
        <v>18</v>
      </c>
      <c r="M285" s="4">
        <f t="shared" si="17"/>
        <v>0.84000000000000341</v>
      </c>
      <c r="N285" s="6">
        <f t="shared" si="18"/>
        <v>1.4935988620199207E-2</v>
      </c>
      <c r="O285" s="4">
        <f t="shared" si="19"/>
        <v>1376.7600000000057</v>
      </c>
    </row>
    <row r="286" spans="1:15" x14ac:dyDescent="0.3">
      <c r="A286" s="3" t="s">
        <v>311</v>
      </c>
      <c r="B286" s="3" t="s">
        <v>12</v>
      </c>
      <c r="C286" s="5">
        <v>45015</v>
      </c>
      <c r="D286" s="5">
        <v>45022</v>
      </c>
      <c r="E286" s="3" t="s">
        <v>26</v>
      </c>
      <c r="F286" s="3" t="s">
        <v>18</v>
      </c>
      <c r="G286" s="3">
        <v>904</v>
      </c>
      <c r="H286" s="3">
        <v>34.04</v>
      </c>
      <c r="I286" s="3">
        <v>30.06</v>
      </c>
      <c r="J286" s="3">
        <v>26</v>
      </c>
      <c r="K286" s="3" t="s">
        <v>15</v>
      </c>
      <c r="L286" s="3">
        <f t="shared" si="16"/>
        <v>7</v>
      </c>
      <c r="M286" s="4">
        <f t="shared" si="17"/>
        <v>3.9800000000000004</v>
      </c>
      <c r="N286" s="6">
        <f t="shared" si="18"/>
        <v>0.11692126909518215</v>
      </c>
      <c r="O286" s="4">
        <f t="shared" si="19"/>
        <v>3597.9200000000005</v>
      </c>
    </row>
    <row r="287" spans="1:15" x14ac:dyDescent="0.3">
      <c r="A287" s="3" t="s">
        <v>312</v>
      </c>
      <c r="B287" s="3" t="s">
        <v>23</v>
      </c>
      <c r="C287" s="5">
        <v>45125</v>
      </c>
      <c r="D287" s="5">
        <v>45133</v>
      </c>
      <c r="E287" s="3" t="s">
        <v>13</v>
      </c>
      <c r="F287" s="3" t="s">
        <v>18</v>
      </c>
      <c r="G287" s="3">
        <v>1809</v>
      </c>
      <c r="H287" s="3">
        <v>22.17</v>
      </c>
      <c r="I287" s="3">
        <v>19.649999999999999</v>
      </c>
      <c r="J287" s="3"/>
      <c r="K287" s="3" t="s">
        <v>15</v>
      </c>
      <c r="L287" s="3">
        <f t="shared" si="16"/>
        <v>8</v>
      </c>
      <c r="M287" s="4">
        <f t="shared" si="17"/>
        <v>2.5200000000000031</v>
      </c>
      <c r="N287" s="6">
        <f t="shared" si="18"/>
        <v>0.11366711772665777</v>
      </c>
      <c r="O287" s="4">
        <f t="shared" si="19"/>
        <v>4558.6800000000057</v>
      </c>
    </row>
    <row r="288" spans="1:15" x14ac:dyDescent="0.3">
      <c r="A288" s="3" t="s">
        <v>313</v>
      </c>
      <c r="B288" s="3" t="s">
        <v>12</v>
      </c>
      <c r="C288" s="5">
        <v>44662</v>
      </c>
      <c r="D288" s="5">
        <v>44667</v>
      </c>
      <c r="E288" s="3" t="s">
        <v>24</v>
      </c>
      <c r="F288" s="3" t="s">
        <v>18</v>
      </c>
      <c r="G288" s="3">
        <v>1298</v>
      </c>
      <c r="H288" s="3">
        <v>65.930000000000007</v>
      </c>
      <c r="I288" s="3">
        <v>58.95</v>
      </c>
      <c r="J288" s="3"/>
      <c r="K288" s="3" t="s">
        <v>15</v>
      </c>
      <c r="L288" s="3">
        <f t="shared" si="16"/>
        <v>5</v>
      </c>
      <c r="M288" s="4">
        <f t="shared" si="17"/>
        <v>6.980000000000004</v>
      </c>
      <c r="N288" s="6">
        <f t="shared" si="18"/>
        <v>0.10586986197482183</v>
      </c>
      <c r="O288" s="4">
        <f t="shared" si="19"/>
        <v>9060.0400000000045</v>
      </c>
    </row>
    <row r="289" spans="1:15" x14ac:dyDescent="0.3">
      <c r="A289" s="3" t="s">
        <v>314</v>
      </c>
      <c r="B289" s="3" t="s">
        <v>23</v>
      </c>
      <c r="C289" s="5">
        <v>44613</v>
      </c>
      <c r="D289" s="5">
        <v>44633</v>
      </c>
      <c r="E289" s="3" t="s">
        <v>24</v>
      </c>
      <c r="F289" s="3" t="s">
        <v>18</v>
      </c>
      <c r="G289" s="3">
        <v>434</v>
      </c>
      <c r="H289" s="3">
        <v>36.159999999999997</v>
      </c>
      <c r="I289" s="3">
        <v>34.79</v>
      </c>
      <c r="J289" s="3">
        <v>41</v>
      </c>
      <c r="K289" s="3" t="s">
        <v>15</v>
      </c>
      <c r="L289" s="3">
        <f t="shared" si="16"/>
        <v>20</v>
      </c>
      <c r="M289" s="4">
        <f t="shared" si="17"/>
        <v>1.3699999999999974</v>
      </c>
      <c r="N289" s="6">
        <f t="shared" si="18"/>
        <v>3.7887168141592854E-2</v>
      </c>
      <c r="O289" s="4">
        <f t="shared" si="19"/>
        <v>594.5799999999989</v>
      </c>
    </row>
    <row r="290" spans="1:15" x14ac:dyDescent="0.3">
      <c r="A290" s="3" t="s">
        <v>315</v>
      </c>
      <c r="B290" s="3" t="s">
        <v>29</v>
      </c>
      <c r="C290" s="5">
        <v>45229</v>
      </c>
      <c r="D290" s="5">
        <v>45234</v>
      </c>
      <c r="E290" s="3" t="s">
        <v>39</v>
      </c>
      <c r="F290" s="3" t="s">
        <v>18</v>
      </c>
      <c r="G290" s="3">
        <v>1476</v>
      </c>
      <c r="H290" s="3">
        <v>68.849999999999994</v>
      </c>
      <c r="I290" s="3">
        <v>65.28</v>
      </c>
      <c r="J290" s="3">
        <v>43</v>
      </c>
      <c r="K290" s="3" t="s">
        <v>15</v>
      </c>
      <c r="L290" s="3">
        <f t="shared" si="16"/>
        <v>5</v>
      </c>
      <c r="M290" s="4">
        <f t="shared" si="17"/>
        <v>3.5699999999999932</v>
      </c>
      <c r="N290" s="6">
        <f t="shared" si="18"/>
        <v>5.185185185185176E-2</v>
      </c>
      <c r="O290" s="4">
        <f t="shared" si="19"/>
        <v>5269.3199999999897</v>
      </c>
    </row>
    <row r="291" spans="1:15" x14ac:dyDescent="0.3">
      <c r="A291" s="3" t="s">
        <v>316</v>
      </c>
      <c r="B291" s="3" t="s">
        <v>17</v>
      </c>
      <c r="C291" s="5">
        <v>45115</v>
      </c>
      <c r="D291" s="3"/>
      <c r="E291" s="3" t="s">
        <v>26</v>
      </c>
      <c r="F291" s="3" t="s">
        <v>33</v>
      </c>
      <c r="G291" s="3">
        <v>1711</v>
      </c>
      <c r="H291" s="3">
        <v>26.04</v>
      </c>
      <c r="I291" s="3">
        <v>24.81</v>
      </c>
      <c r="J291" s="3">
        <v>290</v>
      </c>
      <c r="K291" s="3" t="s">
        <v>15</v>
      </c>
      <c r="L291" s="3" t="str">
        <f t="shared" si="16"/>
        <v/>
      </c>
      <c r="M291" s="4">
        <f t="shared" si="17"/>
        <v>1.2300000000000004</v>
      </c>
      <c r="N291" s="6">
        <f t="shared" si="18"/>
        <v>4.7235023041474672E-2</v>
      </c>
      <c r="O291" s="4">
        <f t="shared" si="19"/>
        <v>2104.5300000000007</v>
      </c>
    </row>
    <row r="292" spans="1:15" x14ac:dyDescent="0.3">
      <c r="A292" s="3" t="s">
        <v>317</v>
      </c>
      <c r="B292" s="3" t="s">
        <v>20</v>
      </c>
      <c r="C292" s="5">
        <v>44577</v>
      </c>
      <c r="D292" s="5">
        <v>44583</v>
      </c>
      <c r="E292" s="3" t="s">
        <v>24</v>
      </c>
      <c r="F292" s="3" t="s">
        <v>18</v>
      </c>
      <c r="G292" s="3">
        <v>1203</v>
      </c>
      <c r="H292" s="3">
        <v>53.3</v>
      </c>
      <c r="I292" s="3">
        <v>47.68</v>
      </c>
      <c r="J292" s="3">
        <v>49</v>
      </c>
      <c r="K292" s="3" t="s">
        <v>15</v>
      </c>
      <c r="L292" s="3">
        <f t="shared" si="16"/>
        <v>6</v>
      </c>
      <c r="M292" s="4">
        <f t="shared" si="17"/>
        <v>5.6199999999999974</v>
      </c>
      <c r="N292" s="6">
        <f t="shared" si="18"/>
        <v>0.10544090056285174</v>
      </c>
      <c r="O292" s="4">
        <f t="shared" si="19"/>
        <v>6760.8599999999969</v>
      </c>
    </row>
    <row r="293" spans="1:15" x14ac:dyDescent="0.3">
      <c r="A293" s="3" t="s">
        <v>318</v>
      </c>
      <c r="B293" s="3" t="s">
        <v>12</v>
      </c>
      <c r="C293" s="5">
        <v>44657</v>
      </c>
      <c r="D293" s="5">
        <v>44658</v>
      </c>
      <c r="E293" s="3" t="s">
        <v>39</v>
      </c>
      <c r="F293" s="3" t="s">
        <v>18</v>
      </c>
      <c r="G293" s="3">
        <v>1126</v>
      </c>
      <c r="H293" s="3">
        <v>58.8</v>
      </c>
      <c r="I293" s="3">
        <v>52.22</v>
      </c>
      <c r="J293" s="3"/>
      <c r="K293" s="3" t="s">
        <v>15</v>
      </c>
      <c r="L293" s="3">
        <f t="shared" si="16"/>
        <v>1</v>
      </c>
      <c r="M293" s="4">
        <f t="shared" si="17"/>
        <v>6.5799999999999983</v>
      </c>
      <c r="N293" s="6">
        <f t="shared" si="18"/>
        <v>0.11190476190476188</v>
      </c>
      <c r="O293" s="4">
        <f t="shared" si="19"/>
        <v>7409.0799999999981</v>
      </c>
    </row>
    <row r="294" spans="1:15" x14ac:dyDescent="0.3">
      <c r="A294" s="3" t="s">
        <v>319</v>
      </c>
      <c r="B294" s="3" t="s">
        <v>29</v>
      </c>
      <c r="C294" s="5">
        <v>44804</v>
      </c>
      <c r="D294" s="5">
        <v>44816</v>
      </c>
      <c r="E294" s="3" t="s">
        <v>24</v>
      </c>
      <c r="F294" s="3" t="s">
        <v>18</v>
      </c>
      <c r="G294" s="3">
        <v>1757</v>
      </c>
      <c r="H294" s="3">
        <v>15.18</v>
      </c>
      <c r="I294" s="3">
        <v>13.06</v>
      </c>
      <c r="J294" s="3">
        <v>63</v>
      </c>
      <c r="K294" s="3" t="s">
        <v>15</v>
      </c>
      <c r="L294" s="3">
        <f t="shared" si="16"/>
        <v>12</v>
      </c>
      <c r="M294" s="4">
        <f t="shared" si="17"/>
        <v>2.1199999999999992</v>
      </c>
      <c r="N294" s="6">
        <f t="shared" si="18"/>
        <v>0.13965744400527005</v>
      </c>
      <c r="O294" s="4">
        <f t="shared" si="19"/>
        <v>3724.8399999999988</v>
      </c>
    </row>
    <row r="295" spans="1:15" x14ac:dyDescent="0.3">
      <c r="A295" s="3" t="s">
        <v>320</v>
      </c>
      <c r="B295" s="3" t="s">
        <v>29</v>
      </c>
      <c r="C295" s="5">
        <v>44732</v>
      </c>
      <c r="D295" s="5">
        <v>44740</v>
      </c>
      <c r="E295" s="3" t="s">
        <v>21</v>
      </c>
      <c r="F295" s="3" t="s">
        <v>18</v>
      </c>
      <c r="G295" s="3">
        <v>779</v>
      </c>
      <c r="H295" s="3">
        <v>41.3</v>
      </c>
      <c r="I295" s="3">
        <v>36.28</v>
      </c>
      <c r="J295" s="3">
        <v>20</v>
      </c>
      <c r="K295" s="3" t="s">
        <v>15</v>
      </c>
      <c r="L295" s="3">
        <f t="shared" si="16"/>
        <v>8</v>
      </c>
      <c r="M295" s="4">
        <f t="shared" si="17"/>
        <v>5.019999999999996</v>
      </c>
      <c r="N295" s="6">
        <f t="shared" si="18"/>
        <v>0.121549636803874</v>
      </c>
      <c r="O295" s="4">
        <f t="shared" si="19"/>
        <v>3910.5799999999967</v>
      </c>
    </row>
    <row r="296" spans="1:15" x14ac:dyDescent="0.3">
      <c r="A296" s="3" t="s">
        <v>321</v>
      </c>
      <c r="B296" s="3" t="s">
        <v>17</v>
      </c>
      <c r="C296" s="5">
        <v>44978</v>
      </c>
      <c r="D296" s="5">
        <v>44979</v>
      </c>
      <c r="E296" s="3" t="s">
        <v>13</v>
      </c>
      <c r="F296" s="3" t="s">
        <v>18</v>
      </c>
      <c r="G296" s="3">
        <v>1745</v>
      </c>
      <c r="H296" s="3">
        <v>23.53</v>
      </c>
      <c r="I296" s="3">
        <v>22.57</v>
      </c>
      <c r="J296" s="3">
        <v>282</v>
      </c>
      <c r="K296" s="3" t="s">
        <v>27</v>
      </c>
      <c r="L296" s="3">
        <f t="shared" si="16"/>
        <v>1</v>
      </c>
      <c r="M296" s="4">
        <f t="shared" si="17"/>
        <v>0.96000000000000085</v>
      </c>
      <c r="N296" s="6">
        <f t="shared" si="18"/>
        <v>4.07989800254994E-2</v>
      </c>
      <c r="O296" s="4">
        <f t="shared" si="19"/>
        <v>1675.2000000000014</v>
      </c>
    </row>
    <row r="297" spans="1:15" x14ac:dyDescent="0.3">
      <c r="A297" s="3" t="s">
        <v>322</v>
      </c>
      <c r="B297" s="3" t="s">
        <v>17</v>
      </c>
      <c r="C297" s="5">
        <v>45059</v>
      </c>
      <c r="D297" s="5">
        <v>45061</v>
      </c>
      <c r="E297" s="3" t="s">
        <v>26</v>
      </c>
      <c r="F297" s="3" t="s">
        <v>18</v>
      </c>
      <c r="G297" s="3">
        <v>1783</v>
      </c>
      <c r="H297" s="3">
        <v>16.96</v>
      </c>
      <c r="I297" s="3">
        <v>15.8</v>
      </c>
      <c r="J297" s="3">
        <v>295</v>
      </c>
      <c r="K297" s="3" t="s">
        <v>15</v>
      </c>
      <c r="L297" s="3">
        <f t="shared" si="16"/>
        <v>2</v>
      </c>
      <c r="M297" s="4">
        <f t="shared" si="17"/>
        <v>1.1600000000000001</v>
      </c>
      <c r="N297" s="6">
        <f t="shared" si="18"/>
        <v>6.8396226415094338E-2</v>
      </c>
      <c r="O297" s="4">
        <f t="shared" si="19"/>
        <v>2068.2800000000002</v>
      </c>
    </row>
    <row r="298" spans="1:15" x14ac:dyDescent="0.3">
      <c r="A298" s="3" t="s">
        <v>323</v>
      </c>
      <c r="B298" s="3" t="s">
        <v>12</v>
      </c>
      <c r="C298" s="5">
        <v>45054</v>
      </c>
      <c r="D298" s="5">
        <v>45068</v>
      </c>
      <c r="E298" s="3" t="s">
        <v>13</v>
      </c>
      <c r="F298" s="3" t="s">
        <v>33</v>
      </c>
      <c r="G298" s="3">
        <v>1489</v>
      </c>
      <c r="H298" s="3">
        <v>107.02</v>
      </c>
      <c r="I298" s="3">
        <v>93.3</v>
      </c>
      <c r="J298" s="3"/>
      <c r="K298" s="3" t="s">
        <v>15</v>
      </c>
      <c r="L298" s="3">
        <f t="shared" si="16"/>
        <v>14</v>
      </c>
      <c r="M298" s="4">
        <f t="shared" si="17"/>
        <v>13.719999999999999</v>
      </c>
      <c r="N298" s="6">
        <f t="shared" si="18"/>
        <v>0.12820033638572229</v>
      </c>
      <c r="O298" s="4">
        <f t="shared" si="19"/>
        <v>20429.079999999998</v>
      </c>
    </row>
    <row r="299" spans="1:15" x14ac:dyDescent="0.3">
      <c r="A299" s="3" t="s">
        <v>324</v>
      </c>
      <c r="B299" s="3" t="s">
        <v>12</v>
      </c>
      <c r="C299" s="5">
        <v>44780</v>
      </c>
      <c r="D299" s="5">
        <v>44783</v>
      </c>
      <c r="E299" s="3" t="s">
        <v>13</v>
      </c>
      <c r="F299" s="3" t="s">
        <v>18</v>
      </c>
      <c r="G299" s="3">
        <v>296</v>
      </c>
      <c r="H299" s="3">
        <v>40.380000000000003</v>
      </c>
      <c r="I299" s="3">
        <v>35.25</v>
      </c>
      <c r="J299" s="3"/>
      <c r="K299" s="3" t="s">
        <v>15</v>
      </c>
      <c r="L299" s="3">
        <f t="shared" si="16"/>
        <v>3</v>
      </c>
      <c r="M299" s="4">
        <f t="shared" si="17"/>
        <v>5.1300000000000026</v>
      </c>
      <c r="N299" s="6">
        <f t="shared" si="18"/>
        <v>0.12704309063893021</v>
      </c>
      <c r="O299" s="4">
        <f t="shared" si="19"/>
        <v>1518.4800000000007</v>
      </c>
    </row>
    <row r="300" spans="1:15" x14ac:dyDescent="0.3">
      <c r="A300" s="3" t="s">
        <v>325</v>
      </c>
      <c r="B300" s="3" t="s">
        <v>29</v>
      </c>
      <c r="C300" s="5">
        <v>44972</v>
      </c>
      <c r="D300" s="5">
        <v>44984</v>
      </c>
      <c r="E300" s="3" t="s">
        <v>21</v>
      </c>
      <c r="F300" s="3" t="s">
        <v>18</v>
      </c>
      <c r="G300" s="3">
        <v>885</v>
      </c>
      <c r="H300" s="3">
        <v>88.28</v>
      </c>
      <c r="I300" s="3">
        <v>80.8</v>
      </c>
      <c r="J300" s="3">
        <v>31</v>
      </c>
      <c r="K300" s="3" t="s">
        <v>15</v>
      </c>
      <c r="L300" s="3">
        <f t="shared" si="16"/>
        <v>12</v>
      </c>
      <c r="M300" s="4">
        <f t="shared" si="17"/>
        <v>7.480000000000004</v>
      </c>
      <c r="N300" s="6">
        <f t="shared" si="18"/>
        <v>8.4730403262347126E-2</v>
      </c>
      <c r="O300" s="4">
        <f t="shared" si="19"/>
        <v>6619.8000000000038</v>
      </c>
    </row>
    <row r="301" spans="1:15" x14ac:dyDescent="0.3">
      <c r="A301" s="3" t="s">
        <v>326</v>
      </c>
      <c r="B301" s="3" t="s">
        <v>29</v>
      </c>
      <c r="C301" s="5">
        <v>44622</v>
      </c>
      <c r="D301" s="5">
        <v>44626</v>
      </c>
      <c r="E301" s="3" t="s">
        <v>26</v>
      </c>
      <c r="F301" s="3" t="s">
        <v>35</v>
      </c>
      <c r="G301" s="3">
        <v>1512</v>
      </c>
      <c r="H301" s="3">
        <v>33.25</v>
      </c>
      <c r="I301" s="3">
        <v>30.15</v>
      </c>
      <c r="J301" s="3">
        <v>53</v>
      </c>
      <c r="K301" s="3" t="s">
        <v>15</v>
      </c>
      <c r="L301" s="3">
        <f t="shared" si="16"/>
        <v>4</v>
      </c>
      <c r="M301" s="4">
        <f t="shared" si="17"/>
        <v>3.1000000000000014</v>
      </c>
      <c r="N301" s="6">
        <f t="shared" si="18"/>
        <v>9.3233082706766959E-2</v>
      </c>
      <c r="O301" s="4">
        <f t="shared" si="19"/>
        <v>4687.2000000000025</v>
      </c>
    </row>
    <row r="302" spans="1:15" x14ac:dyDescent="0.3">
      <c r="A302" s="3" t="s">
        <v>327</v>
      </c>
      <c r="B302" s="3" t="s">
        <v>17</v>
      </c>
      <c r="C302" s="5">
        <v>44730</v>
      </c>
      <c r="D302" s="5">
        <v>44738</v>
      </c>
      <c r="E302" s="3" t="s">
        <v>13</v>
      </c>
      <c r="F302" s="3" t="s">
        <v>18</v>
      </c>
      <c r="G302" s="3">
        <v>252</v>
      </c>
      <c r="H302" s="3">
        <v>73.12</v>
      </c>
      <c r="I302" s="3">
        <v>67.64</v>
      </c>
      <c r="J302" s="3"/>
      <c r="K302" s="3" t="s">
        <v>27</v>
      </c>
      <c r="L302" s="3">
        <f t="shared" si="16"/>
        <v>8</v>
      </c>
      <c r="M302" s="4">
        <f t="shared" si="17"/>
        <v>5.480000000000004</v>
      </c>
      <c r="N302" s="6">
        <f t="shared" si="18"/>
        <v>7.4945295404814052E-2</v>
      </c>
      <c r="O302" s="4">
        <f t="shared" si="19"/>
        <v>1380.9600000000009</v>
      </c>
    </row>
    <row r="303" spans="1:15" x14ac:dyDescent="0.3">
      <c r="A303" s="3" t="s">
        <v>328</v>
      </c>
      <c r="B303" s="3" t="s">
        <v>12</v>
      </c>
      <c r="C303" s="5">
        <v>44950</v>
      </c>
      <c r="D303" s="3"/>
      <c r="E303" s="3" t="s">
        <v>39</v>
      </c>
      <c r="F303" s="3" t="s">
        <v>14</v>
      </c>
      <c r="G303" s="3">
        <v>1257</v>
      </c>
      <c r="H303" s="3">
        <v>83.13</v>
      </c>
      <c r="I303" s="3">
        <v>81.89</v>
      </c>
      <c r="J303" s="3">
        <v>30</v>
      </c>
      <c r="K303" s="3" t="s">
        <v>15</v>
      </c>
      <c r="L303" s="3" t="str">
        <f t="shared" si="16"/>
        <v/>
      </c>
      <c r="M303" s="4">
        <f t="shared" si="17"/>
        <v>1.2399999999999949</v>
      </c>
      <c r="N303" s="6">
        <f t="shared" si="18"/>
        <v>1.4916396006255201E-2</v>
      </c>
      <c r="O303" s="4">
        <f t="shared" si="19"/>
        <v>1558.6799999999935</v>
      </c>
    </row>
    <row r="304" spans="1:15" x14ac:dyDescent="0.3">
      <c r="A304" s="3" t="s">
        <v>329</v>
      </c>
      <c r="B304" s="3" t="s">
        <v>12</v>
      </c>
      <c r="C304" s="5">
        <v>44564</v>
      </c>
      <c r="D304" s="5">
        <v>44581</v>
      </c>
      <c r="E304" s="3" t="s">
        <v>24</v>
      </c>
      <c r="F304" s="3" t="s">
        <v>18</v>
      </c>
      <c r="G304" s="3">
        <v>172</v>
      </c>
      <c r="H304" s="3">
        <v>63.61</v>
      </c>
      <c r="I304" s="3">
        <v>55.92</v>
      </c>
      <c r="J304" s="3">
        <v>4</v>
      </c>
      <c r="K304" s="3" t="s">
        <v>15</v>
      </c>
      <c r="L304" s="3">
        <f t="shared" si="16"/>
        <v>17</v>
      </c>
      <c r="M304" s="4">
        <f t="shared" si="17"/>
        <v>7.6899999999999977</v>
      </c>
      <c r="N304" s="6">
        <f t="shared" si="18"/>
        <v>0.12089294136142112</v>
      </c>
      <c r="O304" s="4">
        <f t="shared" si="19"/>
        <v>1322.6799999999996</v>
      </c>
    </row>
    <row r="305" spans="1:15" x14ac:dyDescent="0.3">
      <c r="A305" s="3" t="s">
        <v>330</v>
      </c>
      <c r="B305" s="3" t="s">
        <v>29</v>
      </c>
      <c r="C305" s="5">
        <v>44961</v>
      </c>
      <c r="D305" s="5">
        <v>44962</v>
      </c>
      <c r="E305" s="3" t="s">
        <v>24</v>
      </c>
      <c r="F305" s="3" t="s">
        <v>35</v>
      </c>
      <c r="G305" s="3">
        <v>450</v>
      </c>
      <c r="H305" s="3">
        <v>55.85</v>
      </c>
      <c r="I305" s="3">
        <v>49.88</v>
      </c>
      <c r="J305" s="3">
        <v>9</v>
      </c>
      <c r="K305" s="3" t="s">
        <v>15</v>
      </c>
      <c r="L305" s="3">
        <f t="shared" si="16"/>
        <v>1</v>
      </c>
      <c r="M305" s="4">
        <f t="shared" si="17"/>
        <v>5.9699999999999989</v>
      </c>
      <c r="N305" s="6">
        <f t="shared" si="18"/>
        <v>0.10689346463742164</v>
      </c>
      <c r="O305" s="4">
        <f t="shared" si="19"/>
        <v>2686.4999999999995</v>
      </c>
    </row>
    <row r="306" spans="1:15" x14ac:dyDescent="0.3">
      <c r="A306" s="3" t="s">
        <v>331</v>
      </c>
      <c r="B306" s="3" t="s">
        <v>20</v>
      </c>
      <c r="C306" s="5">
        <v>44833</v>
      </c>
      <c r="D306" s="5">
        <v>44849</v>
      </c>
      <c r="E306" s="3" t="s">
        <v>39</v>
      </c>
      <c r="F306" s="3" t="s">
        <v>18</v>
      </c>
      <c r="G306" s="3">
        <v>816</v>
      </c>
      <c r="H306" s="3">
        <v>48.95</v>
      </c>
      <c r="I306" s="3">
        <v>43.42</v>
      </c>
      <c r="J306" s="3">
        <v>45</v>
      </c>
      <c r="K306" s="3" t="s">
        <v>15</v>
      </c>
      <c r="L306" s="3">
        <f t="shared" si="16"/>
        <v>16</v>
      </c>
      <c r="M306" s="4">
        <f t="shared" si="17"/>
        <v>5.5300000000000011</v>
      </c>
      <c r="N306" s="6">
        <f t="shared" si="18"/>
        <v>0.11297242083758939</v>
      </c>
      <c r="O306" s="4">
        <f t="shared" si="19"/>
        <v>4512.4800000000014</v>
      </c>
    </row>
    <row r="307" spans="1:15" x14ac:dyDescent="0.3">
      <c r="A307" s="3" t="s">
        <v>332</v>
      </c>
      <c r="B307" s="3" t="s">
        <v>29</v>
      </c>
      <c r="C307" s="5">
        <v>45027</v>
      </c>
      <c r="D307" s="5">
        <v>45041</v>
      </c>
      <c r="E307" s="3" t="s">
        <v>24</v>
      </c>
      <c r="F307" s="3" t="s">
        <v>18</v>
      </c>
      <c r="G307" s="3">
        <v>343</v>
      </c>
      <c r="H307" s="3">
        <v>44.5</v>
      </c>
      <c r="I307" s="3">
        <v>38.57</v>
      </c>
      <c r="J307" s="3">
        <v>7</v>
      </c>
      <c r="K307" s="3" t="s">
        <v>15</v>
      </c>
      <c r="L307" s="3">
        <f t="shared" si="16"/>
        <v>14</v>
      </c>
      <c r="M307" s="4">
        <f t="shared" si="17"/>
        <v>5.93</v>
      </c>
      <c r="N307" s="6">
        <f t="shared" si="18"/>
        <v>0.13325842696629212</v>
      </c>
      <c r="O307" s="4">
        <f t="shared" si="19"/>
        <v>2033.99</v>
      </c>
    </row>
    <row r="308" spans="1:15" x14ac:dyDescent="0.3">
      <c r="A308" s="3" t="s">
        <v>333</v>
      </c>
      <c r="B308" s="3" t="s">
        <v>20</v>
      </c>
      <c r="C308" s="5">
        <v>44854</v>
      </c>
      <c r="D308" s="5">
        <v>44870</v>
      </c>
      <c r="E308" s="3" t="s">
        <v>21</v>
      </c>
      <c r="F308" s="3" t="s">
        <v>18</v>
      </c>
      <c r="G308" s="3">
        <v>329</v>
      </c>
      <c r="H308" s="3">
        <v>97.87</v>
      </c>
      <c r="I308" s="3">
        <v>85.35</v>
      </c>
      <c r="J308" s="3">
        <v>21</v>
      </c>
      <c r="K308" s="3" t="s">
        <v>27</v>
      </c>
      <c r="L308" s="3">
        <f t="shared" si="16"/>
        <v>16</v>
      </c>
      <c r="M308" s="4">
        <f t="shared" si="17"/>
        <v>12.52000000000001</v>
      </c>
      <c r="N308" s="6">
        <f t="shared" si="18"/>
        <v>0.12792479820169622</v>
      </c>
      <c r="O308" s="4">
        <f t="shared" si="19"/>
        <v>4119.0800000000036</v>
      </c>
    </row>
    <row r="309" spans="1:15" x14ac:dyDescent="0.3">
      <c r="A309" s="3" t="s">
        <v>334</v>
      </c>
      <c r="B309" s="3" t="s">
        <v>12</v>
      </c>
      <c r="C309" s="5">
        <v>44995</v>
      </c>
      <c r="D309" s="5">
        <v>45010</v>
      </c>
      <c r="E309" s="3" t="s">
        <v>39</v>
      </c>
      <c r="F309" s="3" t="s">
        <v>18</v>
      </c>
      <c r="G309" s="3">
        <v>1910</v>
      </c>
      <c r="H309" s="3">
        <v>90.69</v>
      </c>
      <c r="I309" s="3">
        <v>85.8</v>
      </c>
      <c r="J309" s="3"/>
      <c r="K309" s="3" t="s">
        <v>15</v>
      </c>
      <c r="L309" s="3">
        <f t="shared" si="16"/>
        <v>15</v>
      </c>
      <c r="M309" s="4">
        <f t="shared" si="17"/>
        <v>4.8900000000000006</v>
      </c>
      <c r="N309" s="6">
        <f t="shared" si="18"/>
        <v>5.3919947072444602E-2</v>
      </c>
      <c r="O309" s="4">
        <f t="shared" si="19"/>
        <v>9339.9000000000015</v>
      </c>
    </row>
    <row r="310" spans="1:15" x14ac:dyDescent="0.3">
      <c r="A310" s="3" t="s">
        <v>335</v>
      </c>
      <c r="B310" s="3" t="s">
        <v>29</v>
      </c>
      <c r="C310" s="5">
        <v>45275</v>
      </c>
      <c r="D310" s="5">
        <v>45278</v>
      </c>
      <c r="E310" s="3" t="s">
        <v>21</v>
      </c>
      <c r="F310" s="3" t="s">
        <v>18</v>
      </c>
      <c r="G310" s="3">
        <v>933</v>
      </c>
      <c r="H310" s="3">
        <v>107.99</v>
      </c>
      <c r="I310" s="3">
        <v>104.29</v>
      </c>
      <c r="J310" s="3">
        <v>29</v>
      </c>
      <c r="K310" s="3" t="s">
        <v>15</v>
      </c>
      <c r="L310" s="3">
        <f t="shared" si="16"/>
        <v>3</v>
      </c>
      <c r="M310" s="4">
        <f t="shared" si="17"/>
        <v>3.6999999999999886</v>
      </c>
      <c r="N310" s="6">
        <f t="shared" si="18"/>
        <v>3.4262431706639403E-2</v>
      </c>
      <c r="O310" s="4">
        <f t="shared" si="19"/>
        <v>3452.0999999999894</v>
      </c>
    </row>
    <row r="311" spans="1:15" x14ac:dyDescent="0.3">
      <c r="A311" s="3" t="s">
        <v>336</v>
      </c>
      <c r="B311" s="3" t="s">
        <v>17</v>
      </c>
      <c r="C311" s="5">
        <v>45131</v>
      </c>
      <c r="D311" s="5">
        <v>45136</v>
      </c>
      <c r="E311" s="3" t="s">
        <v>26</v>
      </c>
      <c r="F311" s="3" t="s">
        <v>18</v>
      </c>
      <c r="G311" s="3">
        <v>1683</v>
      </c>
      <c r="H311" s="3">
        <v>23.09</v>
      </c>
      <c r="I311" s="3">
        <v>21.88</v>
      </c>
      <c r="J311" s="3">
        <v>253</v>
      </c>
      <c r="K311" s="3" t="s">
        <v>15</v>
      </c>
      <c r="L311" s="3">
        <f t="shared" si="16"/>
        <v>5</v>
      </c>
      <c r="M311" s="4">
        <f t="shared" si="17"/>
        <v>1.2100000000000009</v>
      </c>
      <c r="N311" s="6">
        <f t="shared" si="18"/>
        <v>5.240363793850155E-2</v>
      </c>
      <c r="O311" s="4">
        <f t="shared" si="19"/>
        <v>2036.4300000000014</v>
      </c>
    </row>
    <row r="312" spans="1:15" x14ac:dyDescent="0.3">
      <c r="A312" s="3" t="s">
        <v>337</v>
      </c>
      <c r="B312" s="3" t="s">
        <v>23</v>
      </c>
      <c r="C312" s="5">
        <v>45239</v>
      </c>
      <c r="D312" s="5">
        <v>45248</v>
      </c>
      <c r="E312" s="3" t="s">
        <v>24</v>
      </c>
      <c r="F312" s="3" t="s">
        <v>35</v>
      </c>
      <c r="G312" s="3">
        <v>247</v>
      </c>
      <c r="H312" s="3">
        <v>84.11</v>
      </c>
      <c r="I312" s="3">
        <v>71.97</v>
      </c>
      <c r="J312" s="3"/>
      <c r="K312" s="3" t="s">
        <v>15</v>
      </c>
      <c r="L312" s="3">
        <f t="shared" si="16"/>
        <v>9</v>
      </c>
      <c r="M312" s="4">
        <f t="shared" si="17"/>
        <v>12.14</v>
      </c>
      <c r="N312" s="6">
        <f t="shared" si="18"/>
        <v>0.14433479966710261</v>
      </c>
      <c r="O312" s="4">
        <f t="shared" si="19"/>
        <v>2998.58</v>
      </c>
    </row>
    <row r="313" spans="1:15" x14ac:dyDescent="0.3">
      <c r="A313" s="3" t="s">
        <v>338</v>
      </c>
      <c r="B313" s="3" t="s">
        <v>12</v>
      </c>
      <c r="C313" s="5">
        <v>45060</v>
      </c>
      <c r="D313" s="5">
        <v>45079</v>
      </c>
      <c r="E313" s="3" t="s">
        <v>21</v>
      </c>
      <c r="F313" s="3" t="s">
        <v>18</v>
      </c>
      <c r="G313" s="3">
        <v>1031</v>
      </c>
      <c r="H313" s="3">
        <v>102.01</v>
      </c>
      <c r="I313" s="3">
        <v>98.65</v>
      </c>
      <c r="J313" s="3"/>
      <c r="K313" s="3" t="s">
        <v>15</v>
      </c>
      <c r="L313" s="3">
        <f t="shared" si="16"/>
        <v>19</v>
      </c>
      <c r="M313" s="4">
        <f t="shared" si="17"/>
        <v>3.3599999999999994</v>
      </c>
      <c r="N313" s="6">
        <f t="shared" si="18"/>
        <v>3.2937947260072535E-2</v>
      </c>
      <c r="O313" s="4">
        <f t="shared" si="19"/>
        <v>3464.1599999999994</v>
      </c>
    </row>
    <row r="314" spans="1:15" x14ac:dyDescent="0.3">
      <c r="A314" s="3" t="s">
        <v>339</v>
      </c>
      <c r="B314" s="3" t="s">
        <v>12</v>
      </c>
      <c r="C314" s="5">
        <v>44720</v>
      </c>
      <c r="D314" s="5">
        <v>44731</v>
      </c>
      <c r="E314" s="3" t="s">
        <v>24</v>
      </c>
      <c r="F314" s="3" t="s">
        <v>18</v>
      </c>
      <c r="G314" s="3">
        <v>1980</v>
      </c>
      <c r="H314" s="3">
        <v>26.97</v>
      </c>
      <c r="I314" s="3">
        <v>24.16</v>
      </c>
      <c r="J314" s="3">
        <v>41</v>
      </c>
      <c r="K314" s="3" t="s">
        <v>15</v>
      </c>
      <c r="L314" s="3">
        <f t="shared" si="16"/>
        <v>11</v>
      </c>
      <c r="M314" s="4">
        <f t="shared" si="17"/>
        <v>2.8099999999999987</v>
      </c>
      <c r="N314" s="6">
        <f t="shared" si="18"/>
        <v>0.10418984056358913</v>
      </c>
      <c r="O314" s="4">
        <f t="shared" si="19"/>
        <v>5563.7999999999975</v>
      </c>
    </row>
    <row r="315" spans="1:15" x14ac:dyDescent="0.3">
      <c r="A315" s="3" t="s">
        <v>340</v>
      </c>
      <c r="B315" s="3" t="s">
        <v>29</v>
      </c>
      <c r="C315" s="5">
        <v>44756</v>
      </c>
      <c r="D315" s="5">
        <v>44776</v>
      </c>
      <c r="E315" s="3" t="s">
        <v>26</v>
      </c>
      <c r="F315" s="3" t="s">
        <v>18</v>
      </c>
      <c r="G315" s="3">
        <v>1584</v>
      </c>
      <c r="H315" s="3">
        <v>16.46</v>
      </c>
      <c r="I315" s="3">
        <v>14.2</v>
      </c>
      <c r="J315" s="3">
        <v>57</v>
      </c>
      <c r="K315" s="3" t="s">
        <v>15</v>
      </c>
      <c r="L315" s="3">
        <f t="shared" si="16"/>
        <v>20</v>
      </c>
      <c r="M315" s="4">
        <f t="shared" si="17"/>
        <v>2.2600000000000016</v>
      </c>
      <c r="N315" s="6">
        <f t="shared" si="18"/>
        <v>0.1373025516403403</v>
      </c>
      <c r="O315" s="4">
        <f t="shared" si="19"/>
        <v>3579.8400000000024</v>
      </c>
    </row>
    <row r="316" spans="1:15" x14ac:dyDescent="0.3">
      <c r="A316" s="3" t="s">
        <v>341</v>
      </c>
      <c r="B316" s="3" t="s">
        <v>23</v>
      </c>
      <c r="C316" s="5">
        <v>44865</v>
      </c>
      <c r="D316" s="5">
        <v>44880</v>
      </c>
      <c r="E316" s="3" t="s">
        <v>13</v>
      </c>
      <c r="F316" s="3" t="s">
        <v>18</v>
      </c>
      <c r="G316" s="3">
        <v>801</v>
      </c>
      <c r="H316" s="3">
        <v>80.150000000000006</v>
      </c>
      <c r="I316" s="3">
        <v>70.91</v>
      </c>
      <c r="J316" s="3"/>
      <c r="K316" s="3" t="s">
        <v>15</v>
      </c>
      <c r="L316" s="3">
        <f t="shared" si="16"/>
        <v>15</v>
      </c>
      <c r="M316" s="4">
        <f t="shared" si="17"/>
        <v>9.2400000000000091</v>
      </c>
      <c r="N316" s="6">
        <f t="shared" si="18"/>
        <v>0.11528384279475994</v>
      </c>
      <c r="O316" s="4">
        <f t="shared" si="19"/>
        <v>7401.2400000000071</v>
      </c>
    </row>
    <row r="317" spans="1:15" x14ac:dyDescent="0.3">
      <c r="A317" s="3" t="s">
        <v>342</v>
      </c>
      <c r="B317" s="3" t="s">
        <v>23</v>
      </c>
      <c r="C317" s="5">
        <v>44784</v>
      </c>
      <c r="D317" s="5">
        <v>44798</v>
      </c>
      <c r="E317" s="3" t="s">
        <v>24</v>
      </c>
      <c r="F317" s="3" t="s">
        <v>18</v>
      </c>
      <c r="G317" s="3">
        <v>193</v>
      </c>
      <c r="H317" s="3">
        <v>63.86</v>
      </c>
      <c r="I317" s="3">
        <v>57.46</v>
      </c>
      <c r="J317" s="3"/>
      <c r="K317" s="3" t="s">
        <v>15</v>
      </c>
      <c r="L317" s="3">
        <f t="shared" si="16"/>
        <v>14</v>
      </c>
      <c r="M317" s="4">
        <f t="shared" si="17"/>
        <v>6.3999999999999986</v>
      </c>
      <c r="N317" s="6">
        <f t="shared" si="18"/>
        <v>0.1002192295646727</v>
      </c>
      <c r="O317" s="4">
        <f t="shared" si="19"/>
        <v>1235.1999999999998</v>
      </c>
    </row>
    <row r="318" spans="1:15" x14ac:dyDescent="0.3">
      <c r="A318" s="3" t="s">
        <v>343</v>
      </c>
      <c r="B318" s="3" t="s">
        <v>23</v>
      </c>
      <c r="C318" s="5">
        <v>44621</v>
      </c>
      <c r="D318" s="5">
        <v>44625</v>
      </c>
      <c r="E318" s="3" t="s">
        <v>26</v>
      </c>
      <c r="F318" s="3" t="s">
        <v>18</v>
      </c>
      <c r="G318" s="3">
        <v>658</v>
      </c>
      <c r="H318" s="3">
        <v>86.62</v>
      </c>
      <c r="I318" s="3">
        <v>79.849999999999994</v>
      </c>
      <c r="J318" s="3">
        <v>72</v>
      </c>
      <c r="K318" s="3" t="s">
        <v>15</v>
      </c>
      <c r="L318" s="3">
        <f t="shared" si="16"/>
        <v>4</v>
      </c>
      <c r="M318" s="4">
        <f t="shared" si="17"/>
        <v>6.7700000000000102</v>
      </c>
      <c r="N318" s="6">
        <f t="shared" si="18"/>
        <v>7.8157469406603675E-2</v>
      </c>
      <c r="O318" s="4">
        <f t="shared" si="19"/>
        <v>4454.6600000000071</v>
      </c>
    </row>
    <row r="319" spans="1:15" x14ac:dyDescent="0.3">
      <c r="A319" s="3" t="s">
        <v>344</v>
      </c>
      <c r="B319" s="3" t="s">
        <v>29</v>
      </c>
      <c r="C319" s="5">
        <v>45155</v>
      </c>
      <c r="D319" s="5">
        <v>45173</v>
      </c>
      <c r="E319" s="3" t="s">
        <v>39</v>
      </c>
      <c r="F319" s="3" t="s">
        <v>18</v>
      </c>
      <c r="G319" s="3">
        <v>1274</v>
      </c>
      <c r="H319" s="3">
        <v>24.72</v>
      </c>
      <c r="I319" s="3">
        <v>23.36</v>
      </c>
      <c r="J319" s="3">
        <v>37</v>
      </c>
      <c r="K319" s="3" t="s">
        <v>15</v>
      </c>
      <c r="L319" s="3">
        <f t="shared" si="16"/>
        <v>18</v>
      </c>
      <c r="M319" s="4">
        <f t="shared" si="17"/>
        <v>1.3599999999999994</v>
      </c>
      <c r="N319" s="6">
        <f t="shared" si="18"/>
        <v>5.5016181229773441E-2</v>
      </c>
      <c r="O319" s="4">
        <f t="shared" si="19"/>
        <v>1732.6399999999992</v>
      </c>
    </row>
    <row r="320" spans="1:15" x14ac:dyDescent="0.3">
      <c r="A320" s="3" t="s">
        <v>345</v>
      </c>
      <c r="B320" s="3" t="s">
        <v>29</v>
      </c>
      <c r="C320" s="5">
        <v>45117</v>
      </c>
      <c r="D320" s="5">
        <v>45124</v>
      </c>
      <c r="E320" s="3" t="s">
        <v>24</v>
      </c>
      <c r="F320" s="3" t="s">
        <v>33</v>
      </c>
      <c r="G320" s="3">
        <v>1197</v>
      </c>
      <c r="H320" s="3">
        <v>88.92</v>
      </c>
      <c r="I320" s="3">
        <v>78.819999999999993</v>
      </c>
      <c r="J320" s="3">
        <v>31</v>
      </c>
      <c r="K320" s="3" t="s">
        <v>15</v>
      </c>
      <c r="L320" s="3">
        <f t="shared" si="16"/>
        <v>7</v>
      </c>
      <c r="M320" s="4">
        <f t="shared" si="17"/>
        <v>10.100000000000009</v>
      </c>
      <c r="N320" s="6">
        <f t="shared" si="18"/>
        <v>0.11358524516419263</v>
      </c>
      <c r="O320" s="4">
        <f t="shared" si="19"/>
        <v>12089.70000000001</v>
      </c>
    </row>
    <row r="321" spans="1:15" x14ac:dyDescent="0.3">
      <c r="A321" s="3" t="s">
        <v>346</v>
      </c>
      <c r="B321" s="3" t="s">
        <v>20</v>
      </c>
      <c r="C321" s="5">
        <v>44624</v>
      </c>
      <c r="D321" s="5">
        <v>44632</v>
      </c>
      <c r="E321" s="3" t="s">
        <v>39</v>
      </c>
      <c r="F321" s="3" t="s">
        <v>18</v>
      </c>
      <c r="G321" s="3">
        <v>236</v>
      </c>
      <c r="H321" s="3">
        <v>28.43</v>
      </c>
      <c r="I321" s="3">
        <v>28.11</v>
      </c>
      <c r="J321" s="3">
        <v>11</v>
      </c>
      <c r="K321" s="3" t="s">
        <v>15</v>
      </c>
      <c r="L321" s="3">
        <f t="shared" si="16"/>
        <v>8</v>
      </c>
      <c r="M321" s="4">
        <f t="shared" si="17"/>
        <v>0.32000000000000028</v>
      </c>
      <c r="N321" s="6">
        <f t="shared" si="18"/>
        <v>1.1255715793176232E-2</v>
      </c>
      <c r="O321" s="4">
        <f t="shared" si="19"/>
        <v>75.520000000000067</v>
      </c>
    </row>
    <row r="322" spans="1:15" x14ac:dyDescent="0.3">
      <c r="A322" s="3" t="s">
        <v>347</v>
      </c>
      <c r="B322" s="3" t="s">
        <v>20</v>
      </c>
      <c r="C322" s="5">
        <v>44883</v>
      </c>
      <c r="D322" s="5">
        <v>44898</v>
      </c>
      <c r="E322" s="3" t="s">
        <v>26</v>
      </c>
      <c r="F322" s="3" t="s">
        <v>33</v>
      </c>
      <c r="G322" s="3">
        <v>1399</v>
      </c>
      <c r="H322" s="3">
        <v>25.97</v>
      </c>
      <c r="I322" s="3">
        <v>22.19</v>
      </c>
      <c r="J322" s="3">
        <v>62</v>
      </c>
      <c r="K322" s="3" t="s">
        <v>15</v>
      </c>
      <c r="L322" s="3">
        <f t="shared" si="16"/>
        <v>15</v>
      </c>
      <c r="M322" s="4">
        <f t="shared" si="17"/>
        <v>3.7799999999999976</v>
      </c>
      <c r="N322" s="6">
        <f t="shared" si="18"/>
        <v>0.14555256064690017</v>
      </c>
      <c r="O322" s="4">
        <f t="shared" si="19"/>
        <v>5288.2199999999966</v>
      </c>
    </row>
    <row r="323" spans="1:15" x14ac:dyDescent="0.3">
      <c r="A323" s="3" t="s">
        <v>348</v>
      </c>
      <c r="B323" s="3" t="s">
        <v>20</v>
      </c>
      <c r="C323" s="5">
        <v>44620</v>
      </c>
      <c r="D323" s="5">
        <v>44624</v>
      </c>
      <c r="E323" s="3" t="s">
        <v>39</v>
      </c>
      <c r="F323" s="3" t="s">
        <v>18</v>
      </c>
      <c r="G323" s="3">
        <v>513</v>
      </c>
      <c r="H323" s="3">
        <v>24.91</v>
      </c>
      <c r="I323" s="3">
        <v>22.58</v>
      </c>
      <c r="J323" s="3">
        <v>29</v>
      </c>
      <c r="K323" s="3" t="s">
        <v>15</v>
      </c>
      <c r="L323" s="3">
        <f t="shared" ref="L323:L386" si="20">IF(OR(C323="",D323=""),"",D323-C323)</f>
        <v>4</v>
      </c>
      <c r="M323" s="4">
        <f t="shared" ref="M323:M386" si="21">H323-I323</f>
        <v>2.3300000000000018</v>
      </c>
      <c r="N323" s="6">
        <f t="shared" ref="N323:N386" si="22">IFERROR((H323-I323)/H323,0)</f>
        <v>9.3536732236049858E-2</v>
      </c>
      <c r="O323" s="4">
        <f t="shared" ref="O323:O386" si="23">(H323-I323)*G323</f>
        <v>1195.2900000000009</v>
      </c>
    </row>
    <row r="324" spans="1:15" x14ac:dyDescent="0.3">
      <c r="A324" s="3" t="s">
        <v>349</v>
      </c>
      <c r="B324" s="3" t="s">
        <v>17</v>
      </c>
      <c r="C324" s="5">
        <v>44613</v>
      </c>
      <c r="D324" s="5">
        <v>44624</v>
      </c>
      <c r="E324" s="3" t="s">
        <v>21</v>
      </c>
      <c r="F324" s="3" t="s">
        <v>18</v>
      </c>
      <c r="G324" s="3">
        <v>1422</v>
      </c>
      <c r="H324" s="3">
        <v>83.73</v>
      </c>
      <c r="I324" s="3">
        <v>76.47</v>
      </c>
      <c r="J324" s="3">
        <v>198</v>
      </c>
      <c r="K324" s="3" t="s">
        <v>15</v>
      </c>
      <c r="L324" s="3">
        <f t="shared" si="20"/>
        <v>11</v>
      </c>
      <c r="M324" s="4">
        <f t="shared" si="21"/>
        <v>7.2600000000000051</v>
      </c>
      <c r="N324" s="6">
        <f t="shared" si="22"/>
        <v>8.6707273378717364E-2</v>
      </c>
      <c r="O324" s="4">
        <f t="shared" si="23"/>
        <v>10323.720000000007</v>
      </c>
    </row>
    <row r="325" spans="1:15" x14ac:dyDescent="0.3">
      <c r="A325" s="3" t="s">
        <v>350</v>
      </c>
      <c r="B325" s="3" t="s">
        <v>12</v>
      </c>
      <c r="C325" s="5">
        <v>45160</v>
      </c>
      <c r="D325" s="5">
        <v>45172</v>
      </c>
      <c r="E325" s="3" t="s">
        <v>13</v>
      </c>
      <c r="F325" s="3" t="s">
        <v>18</v>
      </c>
      <c r="G325" s="3">
        <v>1844</v>
      </c>
      <c r="H325" s="3">
        <v>76.510000000000005</v>
      </c>
      <c r="I325" s="3">
        <v>73.05</v>
      </c>
      <c r="J325" s="3"/>
      <c r="K325" s="3" t="s">
        <v>15</v>
      </c>
      <c r="L325" s="3">
        <f t="shared" si="20"/>
        <v>12</v>
      </c>
      <c r="M325" s="4">
        <f t="shared" si="21"/>
        <v>3.460000000000008</v>
      </c>
      <c r="N325" s="6">
        <f t="shared" si="22"/>
        <v>4.5222846686707723E-2</v>
      </c>
      <c r="O325" s="4">
        <f t="shared" si="23"/>
        <v>6380.2400000000143</v>
      </c>
    </row>
    <row r="326" spans="1:15" x14ac:dyDescent="0.3">
      <c r="A326" s="3" t="s">
        <v>351</v>
      </c>
      <c r="B326" s="3" t="s">
        <v>20</v>
      </c>
      <c r="C326" s="5">
        <v>45050</v>
      </c>
      <c r="D326" s="3"/>
      <c r="E326" s="3" t="s">
        <v>39</v>
      </c>
      <c r="F326" s="3" t="s">
        <v>18</v>
      </c>
      <c r="G326" s="3">
        <v>709</v>
      </c>
      <c r="H326" s="3">
        <v>61.64</v>
      </c>
      <c r="I326" s="3">
        <v>54.55</v>
      </c>
      <c r="J326" s="3">
        <v>41</v>
      </c>
      <c r="K326" s="3" t="s">
        <v>15</v>
      </c>
      <c r="L326" s="3" t="str">
        <f t="shared" si="20"/>
        <v/>
      </c>
      <c r="M326" s="4">
        <f t="shared" si="21"/>
        <v>7.0900000000000034</v>
      </c>
      <c r="N326" s="6">
        <f t="shared" si="22"/>
        <v>0.11502271252433491</v>
      </c>
      <c r="O326" s="4">
        <f t="shared" si="23"/>
        <v>5026.8100000000022</v>
      </c>
    </row>
    <row r="327" spans="1:15" x14ac:dyDescent="0.3">
      <c r="A327" s="3" t="s">
        <v>352</v>
      </c>
      <c r="B327" s="3" t="s">
        <v>17</v>
      </c>
      <c r="C327" s="5">
        <v>45076</v>
      </c>
      <c r="D327" s="5">
        <v>45092</v>
      </c>
      <c r="E327" s="3" t="s">
        <v>21</v>
      </c>
      <c r="F327" s="3" t="s">
        <v>18</v>
      </c>
      <c r="G327" s="3">
        <v>813</v>
      </c>
      <c r="H327" s="3">
        <v>45.68</v>
      </c>
      <c r="I327" s="3">
        <v>41.78</v>
      </c>
      <c r="J327" s="3"/>
      <c r="K327" s="3" t="s">
        <v>27</v>
      </c>
      <c r="L327" s="3">
        <f t="shared" si="20"/>
        <v>16</v>
      </c>
      <c r="M327" s="4">
        <f t="shared" si="21"/>
        <v>3.8999999999999986</v>
      </c>
      <c r="N327" s="6">
        <f t="shared" si="22"/>
        <v>8.5376532399299446E-2</v>
      </c>
      <c r="O327" s="4">
        <f t="shared" si="23"/>
        <v>3170.6999999999989</v>
      </c>
    </row>
    <row r="328" spans="1:15" x14ac:dyDescent="0.3">
      <c r="A328" s="3" t="s">
        <v>353</v>
      </c>
      <c r="B328" s="3" t="s">
        <v>17</v>
      </c>
      <c r="C328" s="5">
        <v>45105</v>
      </c>
      <c r="D328" s="5">
        <v>45108</v>
      </c>
      <c r="E328" s="3" t="s">
        <v>13</v>
      </c>
      <c r="F328" s="3" t="s">
        <v>18</v>
      </c>
      <c r="G328" s="3">
        <v>1004</v>
      </c>
      <c r="H328" s="3">
        <v>96.51</v>
      </c>
      <c r="I328" s="3">
        <v>92.9</v>
      </c>
      <c r="J328" s="3">
        <v>146</v>
      </c>
      <c r="K328" s="3" t="s">
        <v>27</v>
      </c>
      <c r="L328" s="3">
        <f t="shared" si="20"/>
        <v>3</v>
      </c>
      <c r="M328" s="4">
        <f t="shared" si="21"/>
        <v>3.6099999999999994</v>
      </c>
      <c r="N328" s="6">
        <f t="shared" si="22"/>
        <v>3.7405450212413212E-2</v>
      </c>
      <c r="O328" s="4">
        <f t="shared" si="23"/>
        <v>3624.4399999999996</v>
      </c>
    </row>
    <row r="329" spans="1:15" x14ac:dyDescent="0.3">
      <c r="A329" s="3" t="s">
        <v>354</v>
      </c>
      <c r="B329" s="3" t="s">
        <v>29</v>
      </c>
      <c r="C329" s="5">
        <v>44723</v>
      </c>
      <c r="D329" s="5">
        <v>44727</v>
      </c>
      <c r="E329" s="3" t="s">
        <v>26</v>
      </c>
      <c r="F329" s="3" t="s">
        <v>18</v>
      </c>
      <c r="G329" s="3">
        <v>452</v>
      </c>
      <c r="H329" s="3">
        <v>46.45</v>
      </c>
      <c r="I329" s="3">
        <v>40.39</v>
      </c>
      <c r="J329" s="3">
        <v>9</v>
      </c>
      <c r="K329" s="3" t="s">
        <v>15</v>
      </c>
      <c r="L329" s="3">
        <f t="shared" si="20"/>
        <v>4</v>
      </c>
      <c r="M329" s="4">
        <f t="shared" si="21"/>
        <v>6.0600000000000023</v>
      </c>
      <c r="N329" s="6">
        <f t="shared" si="22"/>
        <v>0.13046286329386442</v>
      </c>
      <c r="O329" s="4">
        <f t="shared" si="23"/>
        <v>2739.1200000000008</v>
      </c>
    </row>
    <row r="330" spans="1:15" x14ac:dyDescent="0.3">
      <c r="A330" s="3" t="s">
        <v>355</v>
      </c>
      <c r="B330" s="3" t="s">
        <v>23</v>
      </c>
      <c r="C330" s="5">
        <v>44620</v>
      </c>
      <c r="D330" s="5">
        <v>44632</v>
      </c>
      <c r="E330" s="3" t="s">
        <v>26</v>
      </c>
      <c r="F330" s="3" t="s">
        <v>35</v>
      </c>
      <c r="G330" s="3">
        <v>1419</v>
      </c>
      <c r="H330" s="3">
        <v>83.91</v>
      </c>
      <c r="I330" s="3">
        <v>71.459999999999994</v>
      </c>
      <c r="J330" s="3">
        <v>137</v>
      </c>
      <c r="K330" s="3" t="s">
        <v>15</v>
      </c>
      <c r="L330" s="3">
        <f t="shared" si="20"/>
        <v>12</v>
      </c>
      <c r="M330" s="4">
        <f t="shared" si="21"/>
        <v>12.450000000000003</v>
      </c>
      <c r="N330" s="6">
        <f t="shared" si="22"/>
        <v>0.14837325706113696</v>
      </c>
      <c r="O330" s="4">
        <f t="shared" si="23"/>
        <v>17666.550000000003</v>
      </c>
    </row>
    <row r="331" spans="1:15" x14ac:dyDescent="0.3">
      <c r="A331" s="3" t="s">
        <v>356</v>
      </c>
      <c r="B331" s="3" t="s">
        <v>23</v>
      </c>
      <c r="C331" s="5">
        <v>45082</v>
      </c>
      <c r="D331" s="5">
        <v>45100</v>
      </c>
      <c r="E331" s="3" t="s">
        <v>24</v>
      </c>
      <c r="F331" s="3" t="s">
        <v>18</v>
      </c>
      <c r="G331" s="3">
        <v>1584</v>
      </c>
      <c r="H331" s="3">
        <v>53.73</v>
      </c>
      <c r="I331" s="3">
        <v>51.92</v>
      </c>
      <c r="J331" s="3">
        <v>167</v>
      </c>
      <c r="K331" s="3" t="s">
        <v>27</v>
      </c>
      <c r="L331" s="3">
        <f t="shared" si="20"/>
        <v>18</v>
      </c>
      <c r="M331" s="4">
        <f t="shared" si="21"/>
        <v>1.8099999999999952</v>
      </c>
      <c r="N331" s="6">
        <f t="shared" si="22"/>
        <v>3.3686953284943144E-2</v>
      </c>
      <c r="O331" s="4">
        <f t="shared" si="23"/>
        <v>2867.0399999999922</v>
      </c>
    </row>
    <row r="332" spans="1:15" x14ac:dyDescent="0.3">
      <c r="A332" s="3" t="s">
        <v>357</v>
      </c>
      <c r="B332" s="3" t="s">
        <v>20</v>
      </c>
      <c r="C332" s="5">
        <v>44644</v>
      </c>
      <c r="D332" s="5">
        <v>44662</v>
      </c>
      <c r="E332" s="3" t="s">
        <v>21</v>
      </c>
      <c r="F332" s="3" t="s">
        <v>35</v>
      </c>
      <c r="G332" s="3">
        <v>196</v>
      </c>
      <c r="H332" s="3">
        <v>44.36</v>
      </c>
      <c r="I332" s="3">
        <v>43.81</v>
      </c>
      <c r="J332" s="3">
        <v>6</v>
      </c>
      <c r="K332" s="3" t="s">
        <v>15</v>
      </c>
      <c r="L332" s="3">
        <f t="shared" si="20"/>
        <v>18</v>
      </c>
      <c r="M332" s="4">
        <f t="shared" si="21"/>
        <v>0.54999999999999716</v>
      </c>
      <c r="N332" s="6">
        <f t="shared" si="22"/>
        <v>1.239855725879164E-2</v>
      </c>
      <c r="O332" s="4">
        <f t="shared" si="23"/>
        <v>107.79999999999944</v>
      </c>
    </row>
    <row r="333" spans="1:15" x14ac:dyDescent="0.3">
      <c r="A333" s="3" t="s">
        <v>358</v>
      </c>
      <c r="B333" s="3" t="s">
        <v>12</v>
      </c>
      <c r="C333" s="5">
        <v>44752</v>
      </c>
      <c r="D333" s="5">
        <v>44756</v>
      </c>
      <c r="E333" s="3" t="s">
        <v>13</v>
      </c>
      <c r="F333" s="3" t="s">
        <v>18</v>
      </c>
      <c r="G333" s="3">
        <v>1221</v>
      </c>
      <c r="H333" s="3">
        <v>53.19</v>
      </c>
      <c r="I333" s="3">
        <v>46.18</v>
      </c>
      <c r="J333" s="3">
        <v>29</v>
      </c>
      <c r="K333" s="3" t="s">
        <v>15</v>
      </c>
      <c r="L333" s="3">
        <f t="shared" si="20"/>
        <v>4</v>
      </c>
      <c r="M333" s="4">
        <f t="shared" si="21"/>
        <v>7.009999999999998</v>
      </c>
      <c r="N333" s="6">
        <f t="shared" si="22"/>
        <v>0.13179169016732464</v>
      </c>
      <c r="O333" s="4">
        <f t="shared" si="23"/>
        <v>8559.2099999999973</v>
      </c>
    </row>
    <row r="334" spans="1:15" x14ac:dyDescent="0.3">
      <c r="A334" s="3" t="s">
        <v>359</v>
      </c>
      <c r="B334" s="3" t="s">
        <v>12</v>
      </c>
      <c r="C334" s="5">
        <v>44632</v>
      </c>
      <c r="D334" s="5">
        <v>44646</v>
      </c>
      <c r="E334" s="3" t="s">
        <v>24</v>
      </c>
      <c r="F334" s="3" t="s">
        <v>18</v>
      </c>
      <c r="G334" s="3">
        <v>913</v>
      </c>
      <c r="H334" s="3">
        <v>37.5</v>
      </c>
      <c r="I334" s="3">
        <v>36.200000000000003</v>
      </c>
      <c r="J334" s="3"/>
      <c r="K334" s="3" t="s">
        <v>15</v>
      </c>
      <c r="L334" s="3">
        <f t="shared" si="20"/>
        <v>14</v>
      </c>
      <c r="M334" s="4">
        <f t="shared" si="21"/>
        <v>1.2999999999999972</v>
      </c>
      <c r="N334" s="6">
        <f t="shared" si="22"/>
        <v>3.4666666666666589E-2</v>
      </c>
      <c r="O334" s="4">
        <f t="shared" si="23"/>
        <v>1186.8999999999974</v>
      </c>
    </row>
    <row r="335" spans="1:15" x14ac:dyDescent="0.3">
      <c r="A335" s="3" t="s">
        <v>360</v>
      </c>
      <c r="B335" s="3" t="s">
        <v>12</v>
      </c>
      <c r="C335" s="5">
        <v>45171</v>
      </c>
      <c r="D335" s="5">
        <v>45173</v>
      </c>
      <c r="E335" s="3" t="s">
        <v>24</v>
      </c>
      <c r="F335" s="3" t="s">
        <v>18</v>
      </c>
      <c r="G335" s="3">
        <v>1784</v>
      </c>
      <c r="H335" s="3">
        <v>85.01</v>
      </c>
      <c r="I335" s="3">
        <v>76.69</v>
      </c>
      <c r="J335" s="3">
        <v>37</v>
      </c>
      <c r="K335" s="3" t="s">
        <v>15</v>
      </c>
      <c r="L335" s="3">
        <f t="shared" si="20"/>
        <v>2</v>
      </c>
      <c r="M335" s="4">
        <f t="shared" si="21"/>
        <v>8.3200000000000074</v>
      </c>
      <c r="N335" s="6">
        <f t="shared" si="22"/>
        <v>9.7870838724855982E-2</v>
      </c>
      <c r="O335" s="4">
        <f t="shared" si="23"/>
        <v>14842.880000000014</v>
      </c>
    </row>
    <row r="336" spans="1:15" x14ac:dyDescent="0.3">
      <c r="A336" s="3" t="s">
        <v>361</v>
      </c>
      <c r="B336" s="3" t="s">
        <v>17</v>
      </c>
      <c r="C336" s="5">
        <v>44631</v>
      </c>
      <c r="D336" s="3"/>
      <c r="E336" s="3" t="s">
        <v>26</v>
      </c>
      <c r="F336" s="3" t="s">
        <v>18</v>
      </c>
      <c r="G336" s="3">
        <v>1893</v>
      </c>
      <c r="H336" s="3">
        <v>55.8</v>
      </c>
      <c r="I336" s="3">
        <v>52.35</v>
      </c>
      <c r="J336" s="3"/>
      <c r="K336" s="3" t="s">
        <v>15</v>
      </c>
      <c r="L336" s="3" t="str">
        <f t="shared" si="20"/>
        <v/>
      </c>
      <c r="M336" s="4">
        <f t="shared" si="21"/>
        <v>3.4499999999999957</v>
      </c>
      <c r="N336" s="6">
        <f t="shared" si="22"/>
        <v>6.1827956989247236E-2</v>
      </c>
      <c r="O336" s="4">
        <f t="shared" si="23"/>
        <v>6530.8499999999922</v>
      </c>
    </row>
    <row r="337" spans="1:15" x14ac:dyDescent="0.3">
      <c r="A337" s="3" t="s">
        <v>362</v>
      </c>
      <c r="B337" s="3" t="s">
        <v>17</v>
      </c>
      <c r="C337" s="5">
        <v>45253</v>
      </c>
      <c r="D337" s="5">
        <v>45265</v>
      </c>
      <c r="E337" s="3" t="s">
        <v>39</v>
      </c>
      <c r="F337" s="3" t="s">
        <v>35</v>
      </c>
      <c r="G337" s="3">
        <v>538</v>
      </c>
      <c r="H337" s="3">
        <v>34.299999999999997</v>
      </c>
      <c r="I337" s="3">
        <v>32.25</v>
      </c>
      <c r="J337" s="3">
        <v>84</v>
      </c>
      <c r="K337" s="3" t="s">
        <v>27</v>
      </c>
      <c r="L337" s="3">
        <f t="shared" si="20"/>
        <v>12</v>
      </c>
      <c r="M337" s="4">
        <f t="shared" si="21"/>
        <v>2.0499999999999972</v>
      </c>
      <c r="N337" s="6">
        <f t="shared" si="22"/>
        <v>5.9766763848396423E-2</v>
      </c>
      <c r="O337" s="4">
        <f t="shared" si="23"/>
        <v>1102.8999999999985</v>
      </c>
    </row>
    <row r="338" spans="1:15" x14ac:dyDescent="0.3">
      <c r="A338" s="3" t="s">
        <v>363</v>
      </c>
      <c r="B338" s="3" t="s">
        <v>17</v>
      </c>
      <c r="C338" s="5">
        <v>44802</v>
      </c>
      <c r="D338" s="5">
        <v>44819</v>
      </c>
      <c r="E338" s="3" t="s">
        <v>13</v>
      </c>
      <c r="F338" s="3" t="s">
        <v>35</v>
      </c>
      <c r="G338" s="3">
        <v>978</v>
      </c>
      <c r="H338" s="3">
        <v>94.15</v>
      </c>
      <c r="I338" s="3">
        <v>87.7</v>
      </c>
      <c r="J338" s="3">
        <v>149</v>
      </c>
      <c r="K338" s="3" t="s">
        <v>27</v>
      </c>
      <c r="L338" s="3">
        <f t="shared" si="20"/>
        <v>17</v>
      </c>
      <c r="M338" s="4">
        <f t="shared" si="21"/>
        <v>6.4500000000000028</v>
      </c>
      <c r="N338" s="6">
        <f t="shared" si="22"/>
        <v>6.8507700477960731E-2</v>
      </c>
      <c r="O338" s="4">
        <f t="shared" si="23"/>
        <v>6308.1000000000031</v>
      </c>
    </row>
    <row r="339" spans="1:15" x14ac:dyDescent="0.3">
      <c r="A339" s="3" t="s">
        <v>364</v>
      </c>
      <c r="B339" s="3" t="s">
        <v>29</v>
      </c>
      <c r="C339" s="5">
        <v>44975</v>
      </c>
      <c r="D339" s="5">
        <v>44991</v>
      </c>
      <c r="E339" s="3" t="s">
        <v>26</v>
      </c>
      <c r="F339" s="3" t="s">
        <v>14</v>
      </c>
      <c r="G339" s="3">
        <v>1713</v>
      </c>
      <c r="H339" s="3">
        <v>47.45</v>
      </c>
      <c r="I339" s="3">
        <v>42.05</v>
      </c>
      <c r="J339" s="3">
        <v>53</v>
      </c>
      <c r="K339" s="3" t="s">
        <v>15</v>
      </c>
      <c r="L339" s="3">
        <f t="shared" si="20"/>
        <v>16</v>
      </c>
      <c r="M339" s="4">
        <f t="shared" si="21"/>
        <v>5.4000000000000057</v>
      </c>
      <c r="N339" s="6">
        <f t="shared" si="22"/>
        <v>0.11380400421496323</v>
      </c>
      <c r="O339" s="4">
        <f t="shared" si="23"/>
        <v>9250.2000000000098</v>
      </c>
    </row>
    <row r="340" spans="1:15" x14ac:dyDescent="0.3">
      <c r="A340" s="3" t="s">
        <v>365</v>
      </c>
      <c r="B340" s="3" t="s">
        <v>17</v>
      </c>
      <c r="C340" s="5">
        <v>44684</v>
      </c>
      <c r="D340" s="5">
        <v>44688</v>
      </c>
      <c r="E340" s="3" t="s">
        <v>26</v>
      </c>
      <c r="F340" s="3" t="s">
        <v>35</v>
      </c>
      <c r="G340" s="3">
        <v>600</v>
      </c>
      <c r="H340" s="3">
        <v>60.1</v>
      </c>
      <c r="I340" s="3">
        <v>57.92</v>
      </c>
      <c r="J340" s="3">
        <v>95</v>
      </c>
      <c r="K340" s="3" t="s">
        <v>27</v>
      </c>
      <c r="L340" s="3">
        <f t="shared" si="20"/>
        <v>4</v>
      </c>
      <c r="M340" s="4">
        <f t="shared" si="21"/>
        <v>2.1799999999999997</v>
      </c>
      <c r="N340" s="6">
        <f t="shared" si="22"/>
        <v>3.6272878535773705E-2</v>
      </c>
      <c r="O340" s="4">
        <f t="shared" si="23"/>
        <v>1307.9999999999998</v>
      </c>
    </row>
    <row r="341" spans="1:15" x14ac:dyDescent="0.3">
      <c r="A341" s="3" t="s">
        <v>366</v>
      </c>
      <c r="B341" s="3" t="s">
        <v>12</v>
      </c>
      <c r="C341" s="5">
        <v>45145</v>
      </c>
      <c r="D341" s="5">
        <v>45163</v>
      </c>
      <c r="E341" s="3" t="s">
        <v>39</v>
      </c>
      <c r="F341" s="3" t="s">
        <v>35</v>
      </c>
      <c r="G341" s="3">
        <v>387</v>
      </c>
      <c r="H341" s="3">
        <v>100.28</v>
      </c>
      <c r="I341" s="3">
        <v>85.54</v>
      </c>
      <c r="J341" s="3">
        <v>5</v>
      </c>
      <c r="K341" s="3" t="s">
        <v>15</v>
      </c>
      <c r="L341" s="3">
        <f t="shared" si="20"/>
        <v>18</v>
      </c>
      <c r="M341" s="4">
        <f t="shared" si="21"/>
        <v>14.739999999999995</v>
      </c>
      <c r="N341" s="6">
        <f t="shared" si="22"/>
        <v>0.14698843238930989</v>
      </c>
      <c r="O341" s="4">
        <f t="shared" si="23"/>
        <v>5704.3799999999983</v>
      </c>
    </row>
    <row r="342" spans="1:15" x14ac:dyDescent="0.3">
      <c r="A342" s="3" t="s">
        <v>367</v>
      </c>
      <c r="B342" s="3" t="s">
        <v>12</v>
      </c>
      <c r="C342" s="5">
        <v>44814</v>
      </c>
      <c r="D342" s="5">
        <v>44823</v>
      </c>
      <c r="E342" s="3" t="s">
        <v>21</v>
      </c>
      <c r="F342" s="3" t="s">
        <v>35</v>
      </c>
      <c r="G342" s="3">
        <v>921</v>
      </c>
      <c r="H342" s="3">
        <v>68.83</v>
      </c>
      <c r="I342" s="3">
        <v>59.13</v>
      </c>
      <c r="J342" s="3">
        <v>22</v>
      </c>
      <c r="K342" s="3" t="s">
        <v>15</v>
      </c>
      <c r="L342" s="3">
        <f t="shared" si="20"/>
        <v>9</v>
      </c>
      <c r="M342" s="4">
        <f t="shared" si="21"/>
        <v>9.6999999999999957</v>
      </c>
      <c r="N342" s="6">
        <f t="shared" si="22"/>
        <v>0.14092692140055202</v>
      </c>
      <c r="O342" s="4">
        <f t="shared" si="23"/>
        <v>8933.6999999999953</v>
      </c>
    </row>
    <row r="343" spans="1:15" x14ac:dyDescent="0.3">
      <c r="A343" s="3" t="s">
        <v>368</v>
      </c>
      <c r="B343" s="3" t="s">
        <v>23</v>
      </c>
      <c r="C343" s="5">
        <v>45154</v>
      </c>
      <c r="D343" s="5">
        <v>45168</v>
      </c>
      <c r="E343" s="3" t="s">
        <v>21</v>
      </c>
      <c r="F343" s="3" t="s">
        <v>18</v>
      </c>
      <c r="G343" s="3">
        <v>690</v>
      </c>
      <c r="H343" s="3">
        <v>22.47</v>
      </c>
      <c r="I343" s="3">
        <v>21.94</v>
      </c>
      <c r="J343" s="3">
        <v>77</v>
      </c>
      <c r="K343" s="3" t="s">
        <v>15</v>
      </c>
      <c r="L343" s="3">
        <f t="shared" si="20"/>
        <v>14</v>
      </c>
      <c r="M343" s="4">
        <f t="shared" si="21"/>
        <v>0.52999999999999758</v>
      </c>
      <c r="N343" s="6">
        <f t="shared" si="22"/>
        <v>2.3587004895416003E-2</v>
      </c>
      <c r="O343" s="4">
        <f t="shared" si="23"/>
        <v>365.69999999999834</v>
      </c>
    </row>
    <row r="344" spans="1:15" x14ac:dyDescent="0.3">
      <c r="A344" s="3" t="s">
        <v>369</v>
      </c>
      <c r="B344" s="3" t="s">
        <v>12</v>
      </c>
      <c r="C344" s="5">
        <v>45170</v>
      </c>
      <c r="D344" s="5">
        <v>45190</v>
      </c>
      <c r="E344" s="3" t="s">
        <v>13</v>
      </c>
      <c r="F344" s="3" t="s">
        <v>14</v>
      </c>
      <c r="G344" s="3">
        <v>1852</v>
      </c>
      <c r="H344" s="3">
        <v>104.04</v>
      </c>
      <c r="I344" s="3">
        <v>94.89</v>
      </c>
      <c r="J344" s="3">
        <v>36</v>
      </c>
      <c r="K344" s="3" t="s">
        <v>15</v>
      </c>
      <c r="L344" s="3">
        <f t="shared" si="20"/>
        <v>20</v>
      </c>
      <c r="M344" s="4">
        <f t="shared" si="21"/>
        <v>9.1500000000000057</v>
      </c>
      <c r="N344" s="6">
        <f t="shared" si="22"/>
        <v>8.7946943483275711E-2</v>
      </c>
      <c r="O344" s="4">
        <f t="shared" si="23"/>
        <v>16945.80000000001</v>
      </c>
    </row>
    <row r="345" spans="1:15" x14ac:dyDescent="0.3">
      <c r="A345" s="3" t="s">
        <v>370</v>
      </c>
      <c r="B345" s="3" t="s">
        <v>17</v>
      </c>
      <c r="C345" s="5">
        <v>44602</v>
      </c>
      <c r="D345" s="5">
        <v>44620</v>
      </c>
      <c r="E345" s="3" t="s">
        <v>39</v>
      </c>
      <c r="F345" s="3" t="s">
        <v>18</v>
      </c>
      <c r="G345" s="3">
        <v>522</v>
      </c>
      <c r="H345" s="3">
        <v>66.83</v>
      </c>
      <c r="I345" s="3">
        <v>58.01</v>
      </c>
      <c r="J345" s="3">
        <v>74</v>
      </c>
      <c r="K345" s="3" t="s">
        <v>15</v>
      </c>
      <c r="L345" s="3">
        <f t="shared" si="20"/>
        <v>18</v>
      </c>
      <c r="M345" s="4">
        <f t="shared" si="21"/>
        <v>8.82</v>
      </c>
      <c r="N345" s="6">
        <f t="shared" si="22"/>
        <v>0.1319766571898848</v>
      </c>
      <c r="O345" s="4">
        <f t="shared" si="23"/>
        <v>4604.04</v>
      </c>
    </row>
    <row r="346" spans="1:15" x14ac:dyDescent="0.3">
      <c r="A346" s="3" t="s">
        <v>371</v>
      </c>
      <c r="B346" s="3" t="s">
        <v>17</v>
      </c>
      <c r="C346" s="5">
        <v>45196</v>
      </c>
      <c r="D346" s="5">
        <v>45205</v>
      </c>
      <c r="E346" s="3" t="s">
        <v>39</v>
      </c>
      <c r="F346" s="3" t="s">
        <v>18</v>
      </c>
      <c r="G346" s="3">
        <v>200</v>
      </c>
      <c r="H346" s="3">
        <v>44.16</v>
      </c>
      <c r="I346" s="3">
        <v>43.13</v>
      </c>
      <c r="J346" s="3">
        <v>21</v>
      </c>
      <c r="K346" s="3" t="s">
        <v>15</v>
      </c>
      <c r="L346" s="3">
        <f t="shared" si="20"/>
        <v>9</v>
      </c>
      <c r="M346" s="4">
        <f t="shared" si="21"/>
        <v>1.029999999999994</v>
      </c>
      <c r="N346" s="6">
        <f t="shared" si="22"/>
        <v>2.3324275362318708E-2</v>
      </c>
      <c r="O346" s="4">
        <f t="shared" si="23"/>
        <v>205.99999999999881</v>
      </c>
    </row>
    <row r="347" spans="1:15" x14ac:dyDescent="0.3">
      <c r="A347" s="3" t="s">
        <v>372</v>
      </c>
      <c r="B347" s="3" t="s">
        <v>20</v>
      </c>
      <c r="C347" s="5">
        <v>44645</v>
      </c>
      <c r="D347" s="5">
        <v>44654</v>
      </c>
      <c r="E347" s="3" t="s">
        <v>24</v>
      </c>
      <c r="F347" s="3" t="s">
        <v>18</v>
      </c>
      <c r="G347" s="3">
        <v>1488</v>
      </c>
      <c r="H347" s="3">
        <v>22.76</v>
      </c>
      <c r="I347" s="3">
        <v>21.99</v>
      </c>
      <c r="J347" s="3"/>
      <c r="K347" s="3" t="s">
        <v>15</v>
      </c>
      <c r="L347" s="3">
        <f t="shared" si="20"/>
        <v>9</v>
      </c>
      <c r="M347" s="4">
        <f t="shared" si="21"/>
        <v>0.77000000000000313</v>
      </c>
      <c r="N347" s="6">
        <f t="shared" si="22"/>
        <v>3.3831282952548468E-2</v>
      </c>
      <c r="O347" s="4">
        <f t="shared" si="23"/>
        <v>1145.7600000000048</v>
      </c>
    </row>
    <row r="348" spans="1:15" x14ac:dyDescent="0.3">
      <c r="A348" s="3" t="s">
        <v>373</v>
      </c>
      <c r="B348" s="3" t="s">
        <v>29</v>
      </c>
      <c r="C348" s="5">
        <v>44991</v>
      </c>
      <c r="D348" s="5">
        <v>45001</v>
      </c>
      <c r="E348" s="3" t="s">
        <v>39</v>
      </c>
      <c r="F348" s="3" t="s">
        <v>18</v>
      </c>
      <c r="G348" s="3">
        <v>1371</v>
      </c>
      <c r="H348" s="3">
        <v>87.16</v>
      </c>
      <c r="I348" s="3">
        <v>78.13</v>
      </c>
      <c r="J348" s="3">
        <v>43</v>
      </c>
      <c r="K348" s="3" t="s">
        <v>15</v>
      </c>
      <c r="L348" s="3">
        <f t="shared" si="20"/>
        <v>10</v>
      </c>
      <c r="M348" s="4">
        <f t="shared" si="21"/>
        <v>9.0300000000000011</v>
      </c>
      <c r="N348" s="6">
        <f t="shared" si="22"/>
        <v>0.10360256998623224</v>
      </c>
      <c r="O348" s="4">
        <f t="shared" si="23"/>
        <v>12380.130000000001</v>
      </c>
    </row>
    <row r="349" spans="1:15" x14ac:dyDescent="0.3">
      <c r="A349" s="3" t="s">
        <v>374</v>
      </c>
      <c r="B349" s="3" t="s">
        <v>12</v>
      </c>
      <c r="C349" s="5">
        <v>45235</v>
      </c>
      <c r="D349" s="3"/>
      <c r="E349" s="3" t="s">
        <v>13</v>
      </c>
      <c r="F349" s="3" t="s">
        <v>18</v>
      </c>
      <c r="G349" s="3">
        <v>1684</v>
      </c>
      <c r="H349" s="3">
        <v>73.05</v>
      </c>
      <c r="I349" s="3">
        <v>62.53</v>
      </c>
      <c r="J349" s="3"/>
      <c r="K349" s="3" t="s">
        <v>15</v>
      </c>
      <c r="L349" s="3" t="str">
        <f t="shared" si="20"/>
        <v/>
      </c>
      <c r="M349" s="4">
        <f t="shared" si="21"/>
        <v>10.519999999999996</v>
      </c>
      <c r="N349" s="6">
        <f t="shared" si="22"/>
        <v>0.14401095140314848</v>
      </c>
      <c r="O349" s="4">
        <f t="shared" si="23"/>
        <v>17715.679999999993</v>
      </c>
    </row>
    <row r="350" spans="1:15" x14ac:dyDescent="0.3">
      <c r="A350" s="3" t="s">
        <v>375</v>
      </c>
      <c r="B350" s="3" t="s">
        <v>29</v>
      </c>
      <c r="C350" s="5">
        <v>45159</v>
      </c>
      <c r="D350" s="5">
        <v>45165</v>
      </c>
      <c r="E350" s="3" t="s">
        <v>39</v>
      </c>
      <c r="F350" s="3" t="s">
        <v>18</v>
      </c>
      <c r="G350" s="3">
        <v>312</v>
      </c>
      <c r="H350" s="3">
        <v>63.52</v>
      </c>
      <c r="I350" s="3">
        <v>58.09</v>
      </c>
      <c r="J350" s="3"/>
      <c r="K350" s="3" t="s">
        <v>15</v>
      </c>
      <c r="L350" s="3">
        <f t="shared" si="20"/>
        <v>6</v>
      </c>
      <c r="M350" s="4">
        <f t="shared" si="21"/>
        <v>5.43</v>
      </c>
      <c r="N350" s="6">
        <f t="shared" si="22"/>
        <v>8.5484886649874053E-2</v>
      </c>
      <c r="O350" s="4">
        <f t="shared" si="23"/>
        <v>1694.1599999999999</v>
      </c>
    </row>
    <row r="351" spans="1:15" x14ac:dyDescent="0.3">
      <c r="A351" s="3" t="s">
        <v>376</v>
      </c>
      <c r="B351" s="3" t="s">
        <v>12</v>
      </c>
      <c r="C351" s="5">
        <v>45140</v>
      </c>
      <c r="D351" s="5">
        <v>45159</v>
      </c>
      <c r="E351" s="3" t="s">
        <v>24</v>
      </c>
      <c r="F351" s="3" t="s">
        <v>14</v>
      </c>
      <c r="G351" s="3">
        <v>1837</v>
      </c>
      <c r="H351" s="3">
        <v>99.04</v>
      </c>
      <c r="I351" s="3">
        <v>86.51</v>
      </c>
      <c r="J351" s="3">
        <v>39</v>
      </c>
      <c r="K351" s="3" t="s">
        <v>15</v>
      </c>
      <c r="L351" s="3">
        <f t="shared" si="20"/>
        <v>19</v>
      </c>
      <c r="M351" s="4">
        <f t="shared" si="21"/>
        <v>12.530000000000001</v>
      </c>
      <c r="N351" s="6">
        <f t="shared" si="22"/>
        <v>0.12651453957996769</v>
      </c>
      <c r="O351" s="4">
        <f t="shared" si="23"/>
        <v>23017.61</v>
      </c>
    </row>
    <row r="352" spans="1:15" x14ac:dyDescent="0.3">
      <c r="A352" s="3" t="s">
        <v>377</v>
      </c>
      <c r="B352" s="3" t="s">
        <v>23</v>
      </c>
      <c r="C352" s="5">
        <v>45097</v>
      </c>
      <c r="D352" s="5">
        <v>45100</v>
      </c>
      <c r="E352" s="3" t="s">
        <v>21</v>
      </c>
      <c r="F352" s="3" t="s">
        <v>18</v>
      </c>
      <c r="G352" s="3">
        <v>193</v>
      </c>
      <c r="H352" s="3">
        <v>87.86</v>
      </c>
      <c r="I352" s="3">
        <v>81.739999999999995</v>
      </c>
      <c r="J352" s="3">
        <v>21</v>
      </c>
      <c r="K352" s="3" t="s">
        <v>15</v>
      </c>
      <c r="L352" s="3">
        <f t="shared" si="20"/>
        <v>3</v>
      </c>
      <c r="M352" s="4">
        <f t="shared" si="21"/>
        <v>6.1200000000000045</v>
      </c>
      <c r="N352" s="6">
        <f t="shared" si="22"/>
        <v>6.965627134076946E-2</v>
      </c>
      <c r="O352" s="4">
        <f t="shared" si="23"/>
        <v>1181.1600000000008</v>
      </c>
    </row>
    <row r="353" spans="1:15" x14ac:dyDescent="0.3">
      <c r="A353" s="3" t="s">
        <v>378</v>
      </c>
      <c r="B353" s="3" t="s">
        <v>23</v>
      </c>
      <c r="C353" s="5">
        <v>44885</v>
      </c>
      <c r="D353" s="5">
        <v>44886</v>
      </c>
      <c r="E353" s="3" t="s">
        <v>39</v>
      </c>
      <c r="F353" s="3" t="s">
        <v>18</v>
      </c>
      <c r="G353" s="3">
        <v>395</v>
      </c>
      <c r="H353" s="3">
        <v>24.83</v>
      </c>
      <c r="I353" s="3">
        <v>23.96</v>
      </c>
      <c r="J353" s="3">
        <v>31</v>
      </c>
      <c r="K353" s="3" t="s">
        <v>15</v>
      </c>
      <c r="L353" s="3">
        <f t="shared" si="20"/>
        <v>1</v>
      </c>
      <c r="M353" s="4">
        <f t="shared" si="21"/>
        <v>0.86999999999999744</v>
      </c>
      <c r="N353" s="6">
        <f t="shared" si="22"/>
        <v>3.5038260169150119E-2</v>
      </c>
      <c r="O353" s="4">
        <f t="shared" si="23"/>
        <v>343.64999999999901</v>
      </c>
    </row>
    <row r="354" spans="1:15" x14ac:dyDescent="0.3">
      <c r="A354" s="3" t="s">
        <v>379</v>
      </c>
      <c r="B354" s="3" t="s">
        <v>29</v>
      </c>
      <c r="C354" s="5">
        <v>44829</v>
      </c>
      <c r="D354" s="5">
        <v>44846</v>
      </c>
      <c r="E354" s="3" t="s">
        <v>39</v>
      </c>
      <c r="F354" s="3" t="s">
        <v>14</v>
      </c>
      <c r="G354" s="3">
        <v>673</v>
      </c>
      <c r="H354" s="3">
        <v>39.58</v>
      </c>
      <c r="I354" s="3">
        <v>35.83</v>
      </c>
      <c r="J354" s="3">
        <v>25</v>
      </c>
      <c r="K354" s="3" t="s">
        <v>15</v>
      </c>
      <c r="L354" s="3">
        <f t="shared" si="20"/>
        <v>17</v>
      </c>
      <c r="M354" s="4">
        <f t="shared" si="21"/>
        <v>3.75</v>
      </c>
      <c r="N354" s="6">
        <f t="shared" si="22"/>
        <v>9.4744820616472963E-2</v>
      </c>
      <c r="O354" s="4">
        <f t="shared" si="23"/>
        <v>2523.75</v>
      </c>
    </row>
    <row r="355" spans="1:15" x14ac:dyDescent="0.3">
      <c r="A355" s="3" t="s">
        <v>380</v>
      </c>
      <c r="B355" s="3" t="s">
        <v>17</v>
      </c>
      <c r="C355" s="5">
        <v>44771</v>
      </c>
      <c r="D355" s="5">
        <v>44785</v>
      </c>
      <c r="E355" s="3" t="s">
        <v>13</v>
      </c>
      <c r="F355" s="3" t="s">
        <v>14</v>
      </c>
      <c r="G355" s="3">
        <v>1066</v>
      </c>
      <c r="H355" s="3">
        <v>33.33</v>
      </c>
      <c r="I355" s="3">
        <v>28.47</v>
      </c>
      <c r="J355" s="3">
        <v>162</v>
      </c>
      <c r="K355" s="3" t="s">
        <v>27</v>
      </c>
      <c r="L355" s="3">
        <f t="shared" si="20"/>
        <v>14</v>
      </c>
      <c r="M355" s="4">
        <f t="shared" si="21"/>
        <v>4.8599999999999994</v>
      </c>
      <c r="N355" s="6">
        <f t="shared" si="22"/>
        <v>0.1458145814581458</v>
      </c>
      <c r="O355" s="4">
        <f t="shared" si="23"/>
        <v>5180.7599999999993</v>
      </c>
    </row>
    <row r="356" spans="1:15" x14ac:dyDescent="0.3">
      <c r="A356" s="3" t="s">
        <v>381</v>
      </c>
      <c r="B356" s="3" t="s">
        <v>20</v>
      </c>
      <c r="C356" s="5">
        <v>45247</v>
      </c>
      <c r="D356" s="5">
        <v>45253</v>
      </c>
      <c r="E356" s="3" t="s">
        <v>24</v>
      </c>
      <c r="F356" s="3" t="s">
        <v>18</v>
      </c>
      <c r="G356" s="3">
        <v>1645</v>
      </c>
      <c r="H356" s="3">
        <v>85.42</v>
      </c>
      <c r="I356" s="3">
        <v>80.78</v>
      </c>
      <c r="J356" s="3">
        <v>73</v>
      </c>
      <c r="K356" s="3" t="s">
        <v>27</v>
      </c>
      <c r="L356" s="3">
        <f t="shared" si="20"/>
        <v>6</v>
      </c>
      <c r="M356" s="4">
        <f t="shared" si="21"/>
        <v>4.6400000000000006</v>
      </c>
      <c r="N356" s="6">
        <f t="shared" si="22"/>
        <v>5.4319831421212834E-2</v>
      </c>
      <c r="O356" s="4">
        <f t="shared" si="23"/>
        <v>7632.8000000000011</v>
      </c>
    </row>
    <row r="357" spans="1:15" x14ac:dyDescent="0.3">
      <c r="A357" s="3" t="s">
        <v>382</v>
      </c>
      <c r="B357" s="3" t="s">
        <v>12</v>
      </c>
      <c r="C357" s="5">
        <v>44883</v>
      </c>
      <c r="D357" s="5">
        <v>44894</v>
      </c>
      <c r="E357" s="3" t="s">
        <v>39</v>
      </c>
      <c r="F357" s="3" t="s">
        <v>18</v>
      </c>
      <c r="G357" s="3">
        <v>930</v>
      </c>
      <c r="H357" s="3">
        <v>13.67</v>
      </c>
      <c r="I357" s="3">
        <v>11.95</v>
      </c>
      <c r="J357" s="3">
        <v>16</v>
      </c>
      <c r="K357" s="3" t="s">
        <v>15</v>
      </c>
      <c r="L357" s="3">
        <f t="shared" si="20"/>
        <v>11</v>
      </c>
      <c r="M357" s="4">
        <f t="shared" si="21"/>
        <v>1.7200000000000006</v>
      </c>
      <c r="N357" s="6">
        <f t="shared" si="22"/>
        <v>0.12582297000731535</v>
      </c>
      <c r="O357" s="4">
        <f t="shared" si="23"/>
        <v>1599.6000000000006</v>
      </c>
    </row>
    <row r="358" spans="1:15" x14ac:dyDescent="0.3">
      <c r="A358" s="3" t="s">
        <v>383</v>
      </c>
      <c r="B358" s="3" t="s">
        <v>12</v>
      </c>
      <c r="C358" s="5">
        <v>44806</v>
      </c>
      <c r="D358" s="5">
        <v>44825</v>
      </c>
      <c r="E358" s="3" t="s">
        <v>13</v>
      </c>
      <c r="F358" s="3" t="s">
        <v>18</v>
      </c>
      <c r="G358" s="3">
        <v>51</v>
      </c>
      <c r="H358" s="3">
        <v>63.74</v>
      </c>
      <c r="I358" s="3">
        <v>56.1</v>
      </c>
      <c r="J358" s="3">
        <v>0</v>
      </c>
      <c r="K358" s="3" t="s">
        <v>15</v>
      </c>
      <c r="L358" s="3">
        <f t="shared" si="20"/>
        <v>19</v>
      </c>
      <c r="M358" s="4">
        <f t="shared" si="21"/>
        <v>7.6400000000000006</v>
      </c>
      <c r="N358" s="6">
        <f t="shared" si="22"/>
        <v>0.11986193912770632</v>
      </c>
      <c r="O358" s="4">
        <f t="shared" si="23"/>
        <v>389.64000000000004</v>
      </c>
    </row>
    <row r="359" spans="1:15" x14ac:dyDescent="0.3">
      <c r="A359" s="3" t="s">
        <v>384</v>
      </c>
      <c r="B359" s="3" t="s">
        <v>20</v>
      </c>
      <c r="C359" s="5">
        <v>44833</v>
      </c>
      <c r="D359" s="5">
        <v>44835</v>
      </c>
      <c r="E359" s="3" t="s">
        <v>24</v>
      </c>
      <c r="F359" s="3" t="s">
        <v>18</v>
      </c>
      <c r="G359" s="3">
        <v>946</v>
      </c>
      <c r="H359" s="3">
        <v>81.77</v>
      </c>
      <c r="I359" s="3">
        <v>71.650000000000006</v>
      </c>
      <c r="J359" s="3">
        <v>55</v>
      </c>
      <c r="K359" s="3" t="s">
        <v>15</v>
      </c>
      <c r="L359" s="3">
        <f t="shared" si="20"/>
        <v>2</v>
      </c>
      <c r="M359" s="4">
        <f t="shared" si="21"/>
        <v>10.11999999999999</v>
      </c>
      <c r="N359" s="6">
        <f t="shared" si="22"/>
        <v>0.12376177082059424</v>
      </c>
      <c r="O359" s="4">
        <f t="shared" si="23"/>
        <v>9573.5199999999913</v>
      </c>
    </row>
    <row r="360" spans="1:15" x14ac:dyDescent="0.3">
      <c r="A360" s="3" t="s">
        <v>385</v>
      </c>
      <c r="B360" s="3" t="s">
        <v>29</v>
      </c>
      <c r="C360" s="5">
        <v>44967</v>
      </c>
      <c r="D360" s="5">
        <v>44987</v>
      </c>
      <c r="E360" s="3" t="s">
        <v>26</v>
      </c>
      <c r="F360" s="3" t="s">
        <v>33</v>
      </c>
      <c r="G360" s="3">
        <v>1377</v>
      </c>
      <c r="H360" s="3">
        <v>94.69</v>
      </c>
      <c r="I360" s="3">
        <v>84.2</v>
      </c>
      <c r="J360" s="3"/>
      <c r="K360" s="3" t="s">
        <v>15</v>
      </c>
      <c r="L360" s="3">
        <f t="shared" si="20"/>
        <v>20</v>
      </c>
      <c r="M360" s="4">
        <f t="shared" si="21"/>
        <v>10.489999999999995</v>
      </c>
      <c r="N360" s="6">
        <f t="shared" si="22"/>
        <v>0.11078255359594461</v>
      </c>
      <c r="O360" s="4">
        <f t="shared" si="23"/>
        <v>14444.729999999992</v>
      </c>
    </row>
    <row r="361" spans="1:15" x14ac:dyDescent="0.3">
      <c r="A361" s="3" t="s">
        <v>386</v>
      </c>
      <c r="B361" s="3" t="s">
        <v>29</v>
      </c>
      <c r="C361" s="5">
        <v>44696</v>
      </c>
      <c r="D361" s="5">
        <v>44699</v>
      </c>
      <c r="E361" s="3" t="s">
        <v>24</v>
      </c>
      <c r="F361" s="3" t="s">
        <v>14</v>
      </c>
      <c r="G361" s="3">
        <v>303</v>
      </c>
      <c r="H361" s="3">
        <v>41.6</v>
      </c>
      <c r="I361" s="3">
        <v>40.51</v>
      </c>
      <c r="J361" s="3">
        <v>11</v>
      </c>
      <c r="K361" s="3" t="s">
        <v>15</v>
      </c>
      <c r="L361" s="3">
        <f t="shared" si="20"/>
        <v>3</v>
      </c>
      <c r="M361" s="4">
        <f t="shared" si="21"/>
        <v>1.0900000000000034</v>
      </c>
      <c r="N361" s="6">
        <f t="shared" si="22"/>
        <v>2.6201923076923157E-2</v>
      </c>
      <c r="O361" s="4">
        <f t="shared" si="23"/>
        <v>330.270000000001</v>
      </c>
    </row>
    <row r="362" spans="1:15" x14ac:dyDescent="0.3">
      <c r="A362" s="3" t="s">
        <v>387</v>
      </c>
      <c r="B362" s="3" t="s">
        <v>12</v>
      </c>
      <c r="C362" s="5">
        <v>45249</v>
      </c>
      <c r="D362" s="5">
        <v>45263</v>
      </c>
      <c r="E362" s="3" t="s">
        <v>26</v>
      </c>
      <c r="F362" s="3" t="s">
        <v>18</v>
      </c>
      <c r="G362" s="3">
        <v>1725</v>
      </c>
      <c r="H362" s="3">
        <v>93.14</v>
      </c>
      <c r="I362" s="3">
        <v>79.62</v>
      </c>
      <c r="J362" s="3">
        <v>24</v>
      </c>
      <c r="K362" s="3" t="s">
        <v>15</v>
      </c>
      <c r="L362" s="3">
        <f t="shared" si="20"/>
        <v>14</v>
      </c>
      <c r="M362" s="4">
        <f t="shared" si="21"/>
        <v>13.519999999999996</v>
      </c>
      <c r="N362" s="6">
        <f t="shared" si="22"/>
        <v>0.1451578269272063</v>
      </c>
      <c r="O362" s="4">
        <f t="shared" si="23"/>
        <v>23321.999999999993</v>
      </c>
    </row>
    <row r="363" spans="1:15" x14ac:dyDescent="0.3">
      <c r="A363" s="3" t="s">
        <v>388</v>
      </c>
      <c r="B363" s="3" t="s">
        <v>23</v>
      </c>
      <c r="C363" s="5">
        <v>45222</v>
      </c>
      <c r="D363" s="5">
        <v>45237</v>
      </c>
      <c r="E363" s="3" t="s">
        <v>26</v>
      </c>
      <c r="F363" s="3" t="s">
        <v>14</v>
      </c>
      <c r="G363" s="3">
        <v>502</v>
      </c>
      <c r="H363" s="3">
        <v>22.05</v>
      </c>
      <c r="I363" s="3">
        <v>20.65</v>
      </c>
      <c r="J363" s="3">
        <v>50</v>
      </c>
      <c r="K363" s="3" t="s">
        <v>27</v>
      </c>
      <c r="L363" s="3">
        <f t="shared" si="20"/>
        <v>15</v>
      </c>
      <c r="M363" s="4">
        <f t="shared" si="21"/>
        <v>1.4000000000000021</v>
      </c>
      <c r="N363" s="6">
        <f t="shared" si="22"/>
        <v>6.3492063492063586E-2</v>
      </c>
      <c r="O363" s="4">
        <f t="shared" si="23"/>
        <v>702.80000000000109</v>
      </c>
    </row>
    <row r="364" spans="1:15" x14ac:dyDescent="0.3">
      <c r="A364" s="3" t="s">
        <v>389</v>
      </c>
      <c r="B364" s="3" t="s">
        <v>20</v>
      </c>
      <c r="C364" s="5">
        <v>44869</v>
      </c>
      <c r="D364" s="5">
        <v>44876</v>
      </c>
      <c r="E364" s="3" t="s">
        <v>24</v>
      </c>
      <c r="F364" s="3" t="s">
        <v>18</v>
      </c>
      <c r="G364" s="3">
        <v>1110</v>
      </c>
      <c r="H364" s="3">
        <v>90.49</v>
      </c>
      <c r="I364" s="3">
        <v>80.03</v>
      </c>
      <c r="J364" s="3">
        <v>61</v>
      </c>
      <c r="K364" s="3" t="s">
        <v>15</v>
      </c>
      <c r="L364" s="3">
        <f t="shared" si="20"/>
        <v>7</v>
      </c>
      <c r="M364" s="4">
        <f t="shared" si="21"/>
        <v>10.459999999999994</v>
      </c>
      <c r="N364" s="6">
        <f t="shared" si="22"/>
        <v>0.11559288319151281</v>
      </c>
      <c r="O364" s="4">
        <f t="shared" si="23"/>
        <v>11610.599999999993</v>
      </c>
    </row>
    <row r="365" spans="1:15" x14ac:dyDescent="0.3">
      <c r="A365" s="3" t="s">
        <v>390</v>
      </c>
      <c r="B365" s="3" t="s">
        <v>12</v>
      </c>
      <c r="C365" s="5">
        <v>45030</v>
      </c>
      <c r="D365" s="5">
        <v>45034</v>
      </c>
      <c r="E365" s="3" t="s">
        <v>24</v>
      </c>
      <c r="F365" s="3" t="s">
        <v>18</v>
      </c>
      <c r="G365" s="3">
        <v>1233</v>
      </c>
      <c r="H365" s="3">
        <v>23.08</v>
      </c>
      <c r="I365" s="3">
        <v>20.57</v>
      </c>
      <c r="J365" s="3"/>
      <c r="K365" s="3" t="s">
        <v>15</v>
      </c>
      <c r="L365" s="3">
        <f t="shared" si="20"/>
        <v>4</v>
      </c>
      <c r="M365" s="4">
        <f t="shared" si="21"/>
        <v>2.509999999999998</v>
      </c>
      <c r="N365" s="6">
        <f t="shared" si="22"/>
        <v>0.10875216637781621</v>
      </c>
      <c r="O365" s="4">
        <f t="shared" si="23"/>
        <v>3094.8299999999977</v>
      </c>
    </row>
    <row r="366" spans="1:15" x14ac:dyDescent="0.3">
      <c r="A366" s="3" t="s">
        <v>391</v>
      </c>
      <c r="B366" s="3" t="s">
        <v>23</v>
      </c>
      <c r="C366" s="5">
        <v>44885</v>
      </c>
      <c r="D366" s="5">
        <v>44889</v>
      </c>
      <c r="E366" s="3" t="s">
        <v>13</v>
      </c>
      <c r="F366" s="3" t="s">
        <v>18</v>
      </c>
      <c r="G366" s="3">
        <v>1064</v>
      </c>
      <c r="H366" s="3">
        <v>48.04</v>
      </c>
      <c r="I366" s="3">
        <v>43.6</v>
      </c>
      <c r="J366" s="3">
        <v>94</v>
      </c>
      <c r="K366" s="3" t="s">
        <v>15</v>
      </c>
      <c r="L366" s="3">
        <f t="shared" si="20"/>
        <v>4</v>
      </c>
      <c r="M366" s="4">
        <f t="shared" si="21"/>
        <v>4.4399999999999977</v>
      </c>
      <c r="N366" s="6">
        <f t="shared" si="22"/>
        <v>9.2422980849292208E-2</v>
      </c>
      <c r="O366" s="4">
        <f t="shared" si="23"/>
        <v>4724.159999999998</v>
      </c>
    </row>
    <row r="367" spans="1:15" x14ac:dyDescent="0.3">
      <c r="A367" s="3" t="s">
        <v>392</v>
      </c>
      <c r="B367" s="3" t="s">
        <v>29</v>
      </c>
      <c r="C367" s="5">
        <v>44636</v>
      </c>
      <c r="D367" s="5">
        <v>44655</v>
      </c>
      <c r="E367" s="3" t="s">
        <v>24</v>
      </c>
      <c r="F367" s="3" t="s">
        <v>33</v>
      </c>
      <c r="G367" s="3">
        <v>58</v>
      </c>
      <c r="H367" s="3">
        <v>82.57</v>
      </c>
      <c r="I367" s="3">
        <v>76.55</v>
      </c>
      <c r="J367" s="3"/>
      <c r="K367" s="3" t="s">
        <v>15</v>
      </c>
      <c r="L367" s="3">
        <f t="shared" si="20"/>
        <v>19</v>
      </c>
      <c r="M367" s="4">
        <f t="shared" si="21"/>
        <v>6.019999999999996</v>
      </c>
      <c r="N367" s="6">
        <f t="shared" si="22"/>
        <v>7.2907835775705421E-2</v>
      </c>
      <c r="O367" s="4">
        <f t="shared" si="23"/>
        <v>349.15999999999974</v>
      </c>
    </row>
    <row r="368" spans="1:15" x14ac:dyDescent="0.3">
      <c r="A368" s="3" t="s">
        <v>393</v>
      </c>
      <c r="B368" s="3" t="s">
        <v>23</v>
      </c>
      <c r="C368" s="5">
        <v>44571</v>
      </c>
      <c r="D368" s="5">
        <v>44581</v>
      </c>
      <c r="E368" s="3" t="s">
        <v>21</v>
      </c>
      <c r="F368" s="3" t="s">
        <v>18</v>
      </c>
      <c r="G368" s="3">
        <v>1306</v>
      </c>
      <c r="H368" s="3">
        <v>23.49</v>
      </c>
      <c r="I368" s="3">
        <v>20.170000000000002</v>
      </c>
      <c r="J368" s="3">
        <v>116</v>
      </c>
      <c r="K368" s="3" t="s">
        <v>27</v>
      </c>
      <c r="L368" s="3">
        <f t="shared" si="20"/>
        <v>10</v>
      </c>
      <c r="M368" s="4">
        <f t="shared" si="21"/>
        <v>3.3199999999999967</v>
      </c>
      <c r="N368" s="6">
        <f t="shared" si="22"/>
        <v>0.14133673903788832</v>
      </c>
      <c r="O368" s="4">
        <f t="shared" si="23"/>
        <v>4335.9199999999955</v>
      </c>
    </row>
    <row r="369" spans="1:15" x14ac:dyDescent="0.3">
      <c r="A369" s="3" t="s">
        <v>394</v>
      </c>
      <c r="B369" s="3" t="s">
        <v>17</v>
      </c>
      <c r="C369" s="5">
        <v>45031</v>
      </c>
      <c r="D369" s="5">
        <v>45044</v>
      </c>
      <c r="E369" s="3" t="s">
        <v>39</v>
      </c>
      <c r="F369" s="3" t="s">
        <v>18</v>
      </c>
      <c r="G369" s="3">
        <v>1172</v>
      </c>
      <c r="H369" s="3">
        <v>32.93</v>
      </c>
      <c r="I369" s="3">
        <v>29.28</v>
      </c>
      <c r="J369" s="3"/>
      <c r="K369" s="3" t="s">
        <v>27</v>
      </c>
      <c r="L369" s="3">
        <f t="shared" si="20"/>
        <v>13</v>
      </c>
      <c r="M369" s="4">
        <f t="shared" si="21"/>
        <v>3.6499999999999986</v>
      </c>
      <c r="N369" s="6">
        <f t="shared" si="22"/>
        <v>0.11084117825690855</v>
      </c>
      <c r="O369" s="4">
        <f t="shared" si="23"/>
        <v>4277.7999999999984</v>
      </c>
    </row>
    <row r="370" spans="1:15" x14ac:dyDescent="0.3">
      <c r="A370" s="3" t="s">
        <v>395</v>
      </c>
      <c r="B370" s="3" t="s">
        <v>12</v>
      </c>
      <c r="C370" s="5">
        <v>45198</v>
      </c>
      <c r="D370" s="3"/>
      <c r="E370" s="3" t="s">
        <v>24</v>
      </c>
      <c r="F370" s="3" t="s">
        <v>18</v>
      </c>
      <c r="G370" s="3">
        <v>1732</v>
      </c>
      <c r="H370" s="3">
        <v>82.5</v>
      </c>
      <c r="I370" s="3">
        <v>71.709999999999994</v>
      </c>
      <c r="J370" s="3">
        <v>24</v>
      </c>
      <c r="K370" s="3" t="s">
        <v>15</v>
      </c>
      <c r="L370" s="3" t="str">
        <f t="shared" si="20"/>
        <v/>
      </c>
      <c r="M370" s="4">
        <f t="shared" si="21"/>
        <v>10.790000000000006</v>
      </c>
      <c r="N370" s="6">
        <f t="shared" si="22"/>
        <v>0.13078787878787887</v>
      </c>
      <c r="O370" s="4">
        <f t="shared" si="23"/>
        <v>18688.28000000001</v>
      </c>
    </row>
    <row r="371" spans="1:15" x14ac:dyDescent="0.3">
      <c r="A371" s="3" t="s">
        <v>396</v>
      </c>
      <c r="B371" s="3" t="s">
        <v>20</v>
      </c>
      <c r="C371" s="5">
        <v>45138</v>
      </c>
      <c r="D371" s="5">
        <v>45145</v>
      </c>
      <c r="E371" s="3" t="s">
        <v>26</v>
      </c>
      <c r="F371" s="3" t="s">
        <v>18</v>
      </c>
      <c r="G371" s="3">
        <v>865</v>
      </c>
      <c r="H371" s="3">
        <v>81.540000000000006</v>
      </c>
      <c r="I371" s="3">
        <v>71.59</v>
      </c>
      <c r="J371" s="3">
        <v>39</v>
      </c>
      <c r="K371" s="3" t="s">
        <v>15</v>
      </c>
      <c r="L371" s="3">
        <f t="shared" si="20"/>
        <v>7</v>
      </c>
      <c r="M371" s="4">
        <f t="shared" si="21"/>
        <v>9.9500000000000028</v>
      </c>
      <c r="N371" s="6">
        <f t="shared" si="22"/>
        <v>0.12202599950944325</v>
      </c>
      <c r="O371" s="4">
        <f t="shared" si="23"/>
        <v>8606.7500000000018</v>
      </c>
    </row>
    <row r="372" spans="1:15" x14ac:dyDescent="0.3">
      <c r="A372" s="3" t="s">
        <v>397</v>
      </c>
      <c r="B372" s="3" t="s">
        <v>23</v>
      </c>
      <c r="C372" s="5">
        <v>44664</v>
      </c>
      <c r="D372" s="5">
        <v>44671</v>
      </c>
      <c r="E372" s="3" t="s">
        <v>26</v>
      </c>
      <c r="F372" s="3" t="s">
        <v>18</v>
      </c>
      <c r="G372" s="3">
        <v>257</v>
      </c>
      <c r="H372" s="3">
        <v>68.72</v>
      </c>
      <c r="I372" s="3">
        <v>66.92</v>
      </c>
      <c r="J372" s="3">
        <v>22</v>
      </c>
      <c r="K372" s="3" t="s">
        <v>15</v>
      </c>
      <c r="L372" s="3">
        <f t="shared" si="20"/>
        <v>7</v>
      </c>
      <c r="M372" s="4">
        <f t="shared" si="21"/>
        <v>1.7999999999999972</v>
      </c>
      <c r="N372" s="6">
        <f t="shared" si="22"/>
        <v>2.619324796274734E-2</v>
      </c>
      <c r="O372" s="4">
        <f t="shared" si="23"/>
        <v>462.59999999999928</v>
      </c>
    </row>
    <row r="373" spans="1:15" x14ac:dyDescent="0.3">
      <c r="A373" s="3" t="s">
        <v>398</v>
      </c>
      <c r="B373" s="3" t="s">
        <v>29</v>
      </c>
      <c r="C373" s="5">
        <v>44637</v>
      </c>
      <c r="D373" s="5">
        <v>44646</v>
      </c>
      <c r="E373" s="3" t="s">
        <v>24</v>
      </c>
      <c r="F373" s="3" t="s">
        <v>18</v>
      </c>
      <c r="G373" s="3">
        <v>1204</v>
      </c>
      <c r="H373" s="3">
        <v>73.180000000000007</v>
      </c>
      <c r="I373" s="3">
        <v>67.59</v>
      </c>
      <c r="J373" s="3">
        <v>31</v>
      </c>
      <c r="K373" s="3" t="s">
        <v>15</v>
      </c>
      <c r="L373" s="3">
        <f t="shared" si="20"/>
        <v>9</v>
      </c>
      <c r="M373" s="4">
        <f t="shared" si="21"/>
        <v>5.5900000000000034</v>
      </c>
      <c r="N373" s="6">
        <f t="shared" si="22"/>
        <v>7.6386990981142433E-2</v>
      </c>
      <c r="O373" s="4">
        <f t="shared" si="23"/>
        <v>6730.3600000000042</v>
      </c>
    </row>
    <row r="374" spans="1:15" x14ac:dyDescent="0.3">
      <c r="A374" s="3" t="s">
        <v>399</v>
      </c>
      <c r="B374" s="3" t="s">
        <v>23</v>
      </c>
      <c r="C374" s="5">
        <v>45112</v>
      </c>
      <c r="D374" s="5">
        <v>45116</v>
      </c>
      <c r="E374" s="3" t="s">
        <v>39</v>
      </c>
      <c r="F374" s="3" t="s">
        <v>33</v>
      </c>
      <c r="G374" s="3">
        <v>453</v>
      </c>
      <c r="H374" s="3">
        <v>64.14</v>
      </c>
      <c r="I374" s="3">
        <v>60.18</v>
      </c>
      <c r="J374" s="3">
        <v>51</v>
      </c>
      <c r="K374" s="3" t="s">
        <v>15</v>
      </c>
      <c r="L374" s="3">
        <f t="shared" si="20"/>
        <v>4</v>
      </c>
      <c r="M374" s="4">
        <f t="shared" si="21"/>
        <v>3.9600000000000009</v>
      </c>
      <c r="N374" s="6">
        <f t="shared" si="22"/>
        <v>6.1739943872778313E-2</v>
      </c>
      <c r="O374" s="4">
        <f t="shared" si="23"/>
        <v>1793.8800000000003</v>
      </c>
    </row>
    <row r="375" spans="1:15" x14ac:dyDescent="0.3">
      <c r="A375" s="3" t="s">
        <v>400</v>
      </c>
      <c r="B375" s="3" t="s">
        <v>29</v>
      </c>
      <c r="C375" s="5">
        <v>44780</v>
      </c>
      <c r="D375" s="5">
        <v>44794</v>
      </c>
      <c r="E375" s="3" t="s">
        <v>39</v>
      </c>
      <c r="F375" s="3" t="s">
        <v>18</v>
      </c>
      <c r="G375" s="3">
        <v>201</v>
      </c>
      <c r="H375" s="3">
        <v>33.81</v>
      </c>
      <c r="I375" s="3">
        <v>32.54</v>
      </c>
      <c r="J375" s="3">
        <v>3</v>
      </c>
      <c r="K375" s="3" t="s">
        <v>15</v>
      </c>
      <c r="L375" s="3">
        <f t="shared" si="20"/>
        <v>14</v>
      </c>
      <c r="M375" s="4">
        <f t="shared" si="21"/>
        <v>1.2700000000000031</v>
      </c>
      <c r="N375" s="6">
        <f t="shared" si="22"/>
        <v>3.756285122744759E-2</v>
      </c>
      <c r="O375" s="4">
        <f t="shared" si="23"/>
        <v>255.27000000000064</v>
      </c>
    </row>
    <row r="376" spans="1:15" x14ac:dyDescent="0.3">
      <c r="A376" s="3" t="s">
        <v>401</v>
      </c>
      <c r="B376" s="3" t="s">
        <v>17</v>
      </c>
      <c r="C376" s="5">
        <v>45080</v>
      </c>
      <c r="D376" s="5">
        <v>45093</v>
      </c>
      <c r="E376" s="3" t="s">
        <v>13</v>
      </c>
      <c r="F376" s="3" t="s">
        <v>18</v>
      </c>
      <c r="G376" s="3">
        <v>103</v>
      </c>
      <c r="H376" s="3">
        <v>44.61</v>
      </c>
      <c r="I376" s="3">
        <v>42.88</v>
      </c>
      <c r="J376" s="3">
        <v>10</v>
      </c>
      <c r="K376" s="3" t="s">
        <v>15</v>
      </c>
      <c r="L376" s="3">
        <f t="shared" si="20"/>
        <v>13</v>
      </c>
      <c r="M376" s="4">
        <f t="shared" si="21"/>
        <v>1.7299999999999969</v>
      </c>
      <c r="N376" s="6">
        <f t="shared" si="22"/>
        <v>3.8780542479264671E-2</v>
      </c>
      <c r="O376" s="4">
        <f t="shared" si="23"/>
        <v>178.18999999999969</v>
      </c>
    </row>
    <row r="377" spans="1:15" x14ac:dyDescent="0.3">
      <c r="A377" s="3" t="s">
        <v>402</v>
      </c>
      <c r="B377" s="3" t="s">
        <v>29</v>
      </c>
      <c r="C377" s="5">
        <v>44833</v>
      </c>
      <c r="D377" s="5">
        <v>44841</v>
      </c>
      <c r="E377" s="3" t="s">
        <v>13</v>
      </c>
      <c r="F377" s="3" t="s">
        <v>18</v>
      </c>
      <c r="G377" s="3">
        <v>1193</v>
      </c>
      <c r="H377" s="3">
        <v>27.4</v>
      </c>
      <c r="I377" s="3">
        <v>27.09</v>
      </c>
      <c r="J377" s="3"/>
      <c r="K377" s="3" t="s">
        <v>15</v>
      </c>
      <c r="L377" s="3">
        <f t="shared" si="20"/>
        <v>8</v>
      </c>
      <c r="M377" s="4">
        <f t="shared" si="21"/>
        <v>0.30999999999999872</v>
      </c>
      <c r="N377" s="6">
        <f t="shared" si="22"/>
        <v>1.131386861313864E-2</v>
      </c>
      <c r="O377" s="4">
        <f t="shared" si="23"/>
        <v>369.82999999999845</v>
      </c>
    </row>
    <row r="378" spans="1:15" x14ac:dyDescent="0.3">
      <c r="A378" s="3" t="s">
        <v>403</v>
      </c>
      <c r="B378" s="3" t="s">
        <v>20</v>
      </c>
      <c r="C378" s="5">
        <v>44697</v>
      </c>
      <c r="D378" s="5">
        <v>44709</v>
      </c>
      <c r="E378" s="3" t="s">
        <v>13</v>
      </c>
      <c r="F378" s="3" t="s">
        <v>33</v>
      </c>
      <c r="G378" s="3">
        <v>1746</v>
      </c>
      <c r="H378" s="3">
        <v>93.6</v>
      </c>
      <c r="I378" s="3">
        <v>89.81</v>
      </c>
      <c r="J378" s="3">
        <v>85</v>
      </c>
      <c r="K378" s="3" t="s">
        <v>15</v>
      </c>
      <c r="L378" s="3">
        <f t="shared" si="20"/>
        <v>12</v>
      </c>
      <c r="M378" s="4">
        <f t="shared" si="21"/>
        <v>3.789999999999992</v>
      </c>
      <c r="N378" s="6">
        <f t="shared" si="22"/>
        <v>4.049145299145291E-2</v>
      </c>
      <c r="O378" s="4">
        <f t="shared" si="23"/>
        <v>6617.3399999999865</v>
      </c>
    </row>
    <row r="379" spans="1:15" x14ac:dyDescent="0.3">
      <c r="A379" s="3" t="s">
        <v>404</v>
      </c>
      <c r="B379" s="3" t="s">
        <v>17</v>
      </c>
      <c r="C379" s="5">
        <v>44919</v>
      </c>
      <c r="D379" s="5">
        <v>44921</v>
      </c>
      <c r="E379" s="3" t="s">
        <v>39</v>
      </c>
      <c r="F379" s="3" t="s">
        <v>18</v>
      </c>
      <c r="G379" s="3">
        <v>1993</v>
      </c>
      <c r="H379" s="3">
        <v>65.94</v>
      </c>
      <c r="I379" s="3">
        <v>59.36</v>
      </c>
      <c r="J379" s="3"/>
      <c r="K379" s="3" t="s">
        <v>15</v>
      </c>
      <c r="L379" s="3">
        <f t="shared" si="20"/>
        <v>2</v>
      </c>
      <c r="M379" s="4">
        <f t="shared" si="21"/>
        <v>6.5799999999999983</v>
      </c>
      <c r="N379" s="6">
        <f t="shared" si="22"/>
        <v>9.9787685774946899E-2</v>
      </c>
      <c r="O379" s="4">
        <f t="shared" si="23"/>
        <v>13113.939999999997</v>
      </c>
    </row>
    <row r="380" spans="1:15" x14ac:dyDescent="0.3">
      <c r="A380" s="3" t="s">
        <v>405</v>
      </c>
      <c r="B380" s="3" t="s">
        <v>23</v>
      </c>
      <c r="C380" s="5">
        <v>44632</v>
      </c>
      <c r="D380" s="5">
        <v>44647</v>
      </c>
      <c r="E380" s="3" t="s">
        <v>26</v>
      </c>
      <c r="F380" s="3" t="s">
        <v>18</v>
      </c>
      <c r="G380" s="3">
        <v>677</v>
      </c>
      <c r="H380" s="3">
        <v>46.54</v>
      </c>
      <c r="I380" s="3">
        <v>43.11</v>
      </c>
      <c r="J380" s="3"/>
      <c r="K380" s="3" t="s">
        <v>27</v>
      </c>
      <c r="L380" s="3">
        <f t="shared" si="20"/>
        <v>15</v>
      </c>
      <c r="M380" s="4">
        <f t="shared" si="21"/>
        <v>3.4299999999999997</v>
      </c>
      <c r="N380" s="6">
        <f t="shared" si="22"/>
        <v>7.370004297378599E-2</v>
      </c>
      <c r="O380" s="4">
        <f t="shared" si="23"/>
        <v>2322.1099999999997</v>
      </c>
    </row>
    <row r="381" spans="1:15" x14ac:dyDescent="0.3">
      <c r="A381" s="3" t="s">
        <v>406</v>
      </c>
      <c r="B381" s="3" t="s">
        <v>12</v>
      </c>
      <c r="C381" s="5">
        <v>44812</v>
      </c>
      <c r="D381" s="3"/>
      <c r="E381" s="3" t="s">
        <v>13</v>
      </c>
      <c r="F381" s="3" t="s">
        <v>35</v>
      </c>
      <c r="G381" s="3">
        <v>636</v>
      </c>
      <c r="H381" s="3">
        <v>53.64</v>
      </c>
      <c r="I381" s="3">
        <v>49.23</v>
      </c>
      <c r="J381" s="3">
        <v>18</v>
      </c>
      <c r="K381" s="3" t="s">
        <v>15</v>
      </c>
      <c r="L381" s="3" t="str">
        <f t="shared" si="20"/>
        <v/>
      </c>
      <c r="M381" s="4">
        <f t="shared" si="21"/>
        <v>4.4100000000000037</v>
      </c>
      <c r="N381" s="6">
        <f t="shared" si="22"/>
        <v>8.2214765100671203E-2</v>
      </c>
      <c r="O381" s="4">
        <f t="shared" si="23"/>
        <v>2804.7600000000025</v>
      </c>
    </row>
    <row r="382" spans="1:15" x14ac:dyDescent="0.3">
      <c r="A382" s="3" t="s">
        <v>407</v>
      </c>
      <c r="B382" s="3" t="s">
        <v>29</v>
      </c>
      <c r="C382" s="5">
        <v>44940</v>
      </c>
      <c r="D382" s="5">
        <v>44959</v>
      </c>
      <c r="E382" s="3" t="s">
        <v>24</v>
      </c>
      <c r="F382" s="3" t="s">
        <v>18</v>
      </c>
      <c r="G382" s="3">
        <v>1698</v>
      </c>
      <c r="H382" s="3">
        <v>100.97</v>
      </c>
      <c r="I382" s="3">
        <v>98.73</v>
      </c>
      <c r="J382" s="3">
        <v>52</v>
      </c>
      <c r="K382" s="3" t="s">
        <v>15</v>
      </c>
      <c r="L382" s="3">
        <f t="shared" si="20"/>
        <v>19</v>
      </c>
      <c r="M382" s="4">
        <f t="shared" si="21"/>
        <v>2.2399999999999949</v>
      </c>
      <c r="N382" s="6">
        <f t="shared" si="22"/>
        <v>2.2184807368525253E-2</v>
      </c>
      <c r="O382" s="4">
        <f t="shared" si="23"/>
        <v>3803.5199999999913</v>
      </c>
    </row>
    <row r="383" spans="1:15" x14ac:dyDescent="0.3">
      <c r="A383" s="3" t="s">
        <v>408</v>
      </c>
      <c r="B383" s="3" t="s">
        <v>20</v>
      </c>
      <c r="C383" s="5">
        <v>44853</v>
      </c>
      <c r="D383" s="5">
        <v>44866</v>
      </c>
      <c r="E383" s="3" t="s">
        <v>13</v>
      </c>
      <c r="F383" s="3" t="s">
        <v>18</v>
      </c>
      <c r="G383" s="3">
        <v>1493</v>
      </c>
      <c r="H383" s="3">
        <v>24.87</v>
      </c>
      <c r="I383" s="3">
        <v>22.89</v>
      </c>
      <c r="J383" s="3">
        <v>56</v>
      </c>
      <c r="K383" s="3" t="s">
        <v>15</v>
      </c>
      <c r="L383" s="3">
        <f t="shared" si="20"/>
        <v>13</v>
      </c>
      <c r="M383" s="4">
        <f t="shared" si="21"/>
        <v>1.9800000000000004</v>
      </c>
      <c r="N383" s="6">
        <f t="shared" si="22"/>
        <v>7.9613992762364305E-2</v>
      </c>
      <c r="O383" s="4">
        <f t="shared" si="23"/>
        <v>2956.1400000000008</v>
      </c>
    </row>
    <row r="384" spans="1:15" x14ac:dyDescent="0.3">
      <c r="A384" s="3" t="s">
        <v>409</v>
      </c>
      <c r="B384" s="3" t="s">
        <v>12</v>
      </c>
      <c r="C384" s="5">
        <v>44723</v>
      </c>
      <c r="D384" s="5">
        <v>44737</v>
      </c>
      <c r="E384" s="3" t="s">
        <v>24</v>
      </c>
      <c r="F384" s="3" t="s">
        <v>18</v>
      </c>
      <c r="G384" s="3">
        <v>1495</v>
      </c>
      <c r="H384" s="3">
        <v>64.33</v>
      </c>
      <c r="I384" s="3">
        <v>58.18</v>
      </c>
      <c r="J384" s="3">
        <v>26</v>
      </c>
      <c r="K384" s="3" t="s">
        <v>15</v>
      </c>
      <c r="L384" s="3">
        <f t="shared" si="20"/>
        <v>14</v>
      </c>
      <c r="M384" s="4">
        <f t="shared" si="21"/>
        <v>6.1499999999999986</v>
      </c>
      <c r="N384" s="6">
        <f t="shared" si="22"/>
        <v>9.5600808332037907E-2</v>
      </c>
      <c r="O384" s="4">
        <f t="shared" si="23"/>
        <v>9194.2499999999982</v>
      </c>
    </row>
    <row r="385" spans="1:15" x14ac:dyDescent="0.3">
      <c r="A385" s="3" t="s">
        <v>410</v>
      </c>
      <c r="B385" s="3" t="s">
        <v>12</v>
      </c>
      <c r="C385" s="5">
        <v>45010</v>
      </c>
      <c r="D385" s="5">
        <v>45023</v>
      </c>
      <c r="E385" s="3" t="s">
        <v>24</v>
      </c>
      <c r="F385" s="3" t="s">
        <v>14</v>
      </c>
      <c r="G385" s="3">
        <v>153</v>
      </c>
      <c r="H385" s="3">
        <v>59.42</v>
      </c>
      <c r="I385" s="3">
        <v>52</v>
      </c>
      <c r="J385" s="3">
        <v>3</v>
      </c>
      <c r="K385" s="3" t="s">
        <v>15</v>
      </c>
      <c r="L385" s="3">
        <f t="shared" si="20"/>
        <v>13</v>
      </c>
      <c r="M385" s="4">
        <f t="shared" si="21"/>
        <v>7.4200000000000017</v>
      </c>
      <c r="N385" s="6">
        <f t="shared" si="22"/>
        <v>0.12487377987209697</v>
      </c>
      <c r="O385" s="4">
        <f t="shared" si="23"/>
        <v>1135.2600000000002</v>
      </c>
    </row>
    <row r="386" spans="1:15" x14ac:dyDescent="0.3">
      <c r="A386" s="3" t="s">
        <v>411</v>
      </c>
      <c r="B386" s="3" t="s">
        <v>17</v>
      </c>
      <c r="C386" s="5">
        <v>45118</v>
      </c>
      <c r="D386" s="5">
        <v>45129</v>
      </c>
      <c r="E386" s="3" t="s">
        <v>26</v>
      </c>
      <c r="F386" s="3" t="s">
        <v>14</v>
      </c>
      <c r="G386" s="3">
        <v>1925</v>
      </c>
      <c r="H386" s="3">
        <v>70.88</v>
      </c>
      <c r="I386" s="3">
        <v>63.41</v>
      </c>
      <c r="J386" s="3">
        <v>292</v>
      </c>
      <c r="K386" s="3" t="s">
        <v>15</v>
      </c>
      <c r="L386" s="3">
        <f t="shared" si="20"/>
        <v>11</v>
      </c>
      <c r="M386" s="4">
        <f t="shared" si="21"/>
        <v>7.4699999999999989</v>
      </c>
      <c r="N386" s="6">
        <f t="shared" si="22"/>
        <v>0.10538939051918735</v>
      </c>
      <c r="O386" s="4">
        <f t="shared" si="23"/>
        <v>14379.749999999998</v>
      </c>
    </row>
    <row r="387" spans="1:15" x14ac:dyDescent="0.3">
      <c r="A387" s="3" t="s">
        <v>412</v>
      </c>
      <c r="B387" s="3" t="s">
        <v>23</v>
      </c>
      <c r="C387" s="5">
        <v>45282</v>
      </c>
      <c r="D387" s="5">
        <v>45302</v>
      </c>
      <c r="E387" s="3" t="s">
        <v>24</v>
      </c>
      <c r="F387" s="3" t="s">
        <v>18</v>
      </c>
      <c r="G387" s="3">
        <v>303</v>
      </c>
      <c r="H387" s="3">
        <v>12.97</v>
      </c>
      <c r="I387" s="3">
        <v>11.42</v>
      </c>
      <c r="J387" s="3"/>
      <c r="K387" s="3" t="s">
        <v>27</v>
      </c>
      <c r="L387" s="3">
        <f t="shared" ref="L387:L450" si="24">IF(OR(C387="",D387=""),"",D387-C387)</f>
        <v>20</v>
      </c>
      <c r="M387" s="4">
        <f t="shared" ref="M387:M450" si="25">H387-I387</f>
        <v>1.5500000000000007</v>
      </c>
      <c r="N387" s="6">
        <f t="shared" ref="N387:N450" si="26">IFERROR((H387-I387)/H387,0)</f>
        <v>0.11950655358519666</v>
      </c>
      <c r="O387" s="4">
        <f t="shared" ref="O387:O450" si="27">(H387-I387)*G387</f>
        <v>469.6500000000002</v>
      </c>
    </row>
    <row r="388" spans="1:15" x14ac:dyDescent="0.3">
      <c r="A388" s="3" t="s">
        <v>413</v>
      </c>
      <c r="B388" s="3" t="s">
        <v>12</v>
      </c>
      <c r="C388" s="5">
        <v>44871</v>
      </c>
      <c r="D388" s="5">
        <v>44883</v>
      </c>
      <c r="E388" s="3" t="s">
        <v>13</v>
      </c>
      <c r="F388" s="3" t="s">
        <v>18</v>
      </c>
      <c r="G388" s="3">
        <v>1300</v>
      </c>
      <c r="H388" s="3">
        <v>92.92</v>
      </c>
      <c r="I388" s="3">
        <v>90.63</v>
      </c>
      <c r="J388" s="3"/>
      <c r="K388" s="3" t="s">
        <v>15</v>
      </c>
      <c r="L388" s="3">
        <f t="shared" si="24"/>
        <v>12</v>
      </c>
      <c r="M388" s="4">
        <f t="shared" si="25"/>
        <v>2.2900000000000063</v>
      </c>
      <c r="N388" s="6">
        <f t="shared" si="26"/>
        <v>2.4644855789926885E-2</v>
      </c>
      <c r="O388" s="4">
        <f t="shared" si="27"/>
        <v>2977.0000000000082</v>
      </c>
    </row>
    <row r="389" spans="1:15" x14ac:dyDescent="0.3">
      <c r="A389" s="3" t="s">
        <v>414</v>
      </c>
      <c r="B389" s="3" t="s">
        <v>20</v>
      </c>
      <c r="C389" s="5">
        <v>45188</v>
      </c>
      <c r="D389" s="5">
        <v>45192</v>
      </c>
      <c r="E389" s="3" t="s">
        <v>26</v>
      </c>
      <c r="F389" s="3" t="s">
        <v>18</v>
      </c>
      <c r="G389" s="3">
        <v>1185</v>
      </c>
      <c r="H389" s="3">
        <v>103.28</v>
      </c>
      <c r="I389" s="3">
        <v>99.05</v>
      </c>
      <c r="J389" s="3"/>
      <c r="K389" s="3" t="s">
        <v>15</v>
      </c>
      <c r="L389" s="3">
        <f t="shared" si="24"/>
        <v>4</v>
      </c>
      <c r="M389" s="4">
        <f t="shared" si="25"/>
        <v>4.230000000000004</v>
      </c>
      <c r="N389" s="6">
        <f t="shared" si="26"/>
        <v>4.0956622773044189E-2</v>
      </c>
      <c r="O389" s="4">
        <f t="shared" si="27"/>
        <v>5012.5500000000047</v>
      </c>
    </row>
    <row r="390" spans="1:15" x14ac:dyDescent="0.3">
      <c r="A390" s="3" t="s">
        <v>415</v>
      </c>
      <c r="B390" s="3" t="s">
        <v>29</v>
      </c>
      <c r="C390" s="5">
        <v>45231</v>
      </c>
      <c r="D390" s="5">
        <v>45250</v>
      </c>
      <c r="E390" s="3" t="s">
        <v>26</v>
      </c>
      <c r="F390" s="3" t="s">
        <v>18</v>
      </c>
      <c r="G390" s="3">
        <v>559</v>
      </c>
      <c r="H390" s="3">
        <v>67.56</v>
      </c>
      <c r="I390" s="3">
        <v>57.98</v>
      </c>
      <c r="J390" s="3">
        <v>15</v>
      </c>
      <c r="K390" s="3" t="s">
        <v>15</v>
      </c>
      <c r="L390" s="3">
        <f t="shared" si="24"/>
        <v>19</v>
      </c>
      <c r="M390" s="4">
        <f t="shared" si="25"/>
        <v>9.5800000000000054</v>
      </c>
      <c r="N390" s="6">
        <f t="shared" si="26"/>
        <v>0.14179988158673779</v>
      </c>
      <c r="O390" s="4">
        <f t="shared" si="27"/>
        <v>5355.220000000003</v>
      </c>
    </row>
    <row r="391" spans="1:15" x14ac:dyDescent="0.3">
      <c r="A391" s="3" t="s">
        <v>416</v>
      </c>
      <c r="B391" s="3" t="s">
        <v>29</v>
      </c>
      <c r="C391" s="5">
        <v>45103</v>
      </c>
      <c r="D391" s="5">
        <v>45106</v>
      </c>
      <c r="E391" s="3" t="s">
        <v>39</v>
      </c>
      <c r="F391" s="3" t="s">
        <v>35</v>
      </c>
      <c r="G391" s="3">
        <v>1546</v>
      </c>
      <c r="H391" s="3">
        <v>78.88</v>
      </c>
      <c r="I391" s="3">
        <v>78</v>
      </c>
      <c r="J391" s="3">
        <v>38</v>
      </c>
      <c r="K391" s="3" t="s">
        <v>15</v>
      </c>
      <c r="L391" s="3">
        <f t="shared" si="24"/>
        <v>3</v>
      </c>
      <c r="M391" s="4">
        <f t="shared" si="25"/>
        <v>0.87999999999999545</v>
      </c>
      <c r="N391" s="6">
        <f t="shared" si="26"/>
        <v>1.1156186612576008E-2</v>
      </c>
      <c r="O391" s="4">
        <f t="shared" si="27"/>
        <v>1360.479999999993</v>
      </c>
    </row>
    <row r="392" spans="1:15" x14ac:dyDescent="0.3">
      <c r="A392" s="3" t="s">
        <v>417</v>
      </c>
      <c r="B392" s="3" t="s">
        <v>29</v>
      </c>
      <c r="C392" s="5">
        <v>44570</v>
      </c>
      <c r="D392" s="5">
        <v>44580</v>
      </c>
      <c r="E392" s="3" t="s">
        <v>24</v>
      </c>
      <c r="F392" s="3" t="s">
        <v>18</v>
      </c>
      <c r="G392" s="3">
        <v>148</v>
      </c>
      <c r="H392" s="3">
        <v>93.02</v>
      </c>
      <c r="I392" s="3">
        <v>85.96</v>
      </c>
      <c r="J392" s="3">
        <v>4</v>
      </c>
      <c r="K392" s="3" t="s">
        <v>15</v>
      </c>
      <c r="L392" s="3">
        <f t="shared" si="24"/>
        <v>10</v>
      </c>
      <c r="M392" s="4">
        <f t="shared" si="25"/>
        <v>7.0600000000000023</v>
      </c>
      <c r="N392" s="6">
        <f t="shared" si="26"/>
        <v>7.5897656417974663E-2</v>
      </c>
      <c r="O392" s="4">
        <f t="shared" si="27"/>
        <v>1044.8800000000003</v>
      </c>
    </row>
    <row r="393" spans="1:15" x14ac:dyDescent="0.3">
      <c r="A393" s="3" t="s">
        <v>418</v>
      </c>
      <c r="B393" s="3" t="s">
        <v>17</v>
      </c>
      <c r="C393" s="5">
        <v>45245</v>
      </c>
      <c r="D393" s="5">
        <v>45253</v>
      </c>
      <c r="E393" s="3" t="s">
        <v>13</v>
      </c>
      <c r="F393" s="3" t="s">
        <v>18</v>
      </c>
      <c r="G393" s="3">
        <v>202</v>
      </c>
      <c r="H393" s="3">
        <v>81.75</v>
      </c>
      <c r="I393" s="3">
        <v>78.260000000000005</v>
      </c>
      <c r="J393" s="3">
        <v>37</v>
      </c>
      <c r="K393" s="3" t="s">
        <v>27</v>
      </c>
      <c r="L393" s="3">
        <f t="shared" si="24"/>
        <v>8</v>
      </c>
      <c r="M393" s="4">
        <f t="shared" si="25"/>
        <v>3.4899999999999949</v>
      </c>
      <c r="N393" s="6">
        <f t="shared" si="26"/>
        <v>4.2691131498470883E-2</v>
      </c>
      <c r="O393" s="4">
        <f t="shared" si="27"/>
        <v>704.979999999999</v>
      </c>
    </row>
    <row r="394" spans="1:15" x14ac:dyDescent="0.3">
      <c r="A394" s="3" t="s">
        <v>419</v>
      </c>
      <c r="B394" s="3" t="s">
        <v>20</v>
      </c>
      <c r="C394" s="5">
        <v>45129</v>
      </c>
      <c r="D394" s="5">
        <v>45135</v>
      </c>
      <c r="E394" s="3" t="s">
        <v>24</v>
      </c>
      <c r="F394" s="3" t="s">
        <v>18</v>
      </c>
      <c r="G394" s="3">
        <v>1934</v>
      </c>
      <c r="H394" s="3">
        <v>25.86</v>
      </c>
      <c r="I394" s="3">
        <v>25.6</v>
      </c>
      <c r="J394" s="3">
        <v>78</v>
      </c>
      <c r="K394" s="3" t="s">
        <v>15</v>
      </c>
      <c r="L394" s="3">
        <f t="shared" si="24"/>
        <v>6</v>
      </c>
      <c r="M394" s="4">
        <f t="shared" si="25"/>
        <v>0.25999999999999801</v>
      </c>
      <c r="N394" s="6">
        <f t="shared" si="26"/>
        <v>1.0054137664346404E-2</v>
      </c>
      <c r="O394" s="4">
        <f t="shared" si="27"/>
        <v>502.83999999999617</v>
      </c>
    </row>
    <row r="395" spans="1:15" x14ac:dyDescent="0.3">
      <c r="A395" s="3" t="s">
        <v>420</v>
      </c>
      <c r="B395" s="3" t="s">
        <v>12</v>
      </c>
      <c r="C395" s="5">
        <v>44868</v>
      </c>
      <c r="D395" s="5">
        <v>44872</v>
      </c>
      <c r="E395" s="3" t="s">
        <v>13</v>
      </c>
      <c r="F395" s="3" t="s">
        <v>18</v>
      </c>
      <c r="G395" s="3">
        <v>963</v>
      </c>
      <c r="H395" s="3">
        <v>64.959999999999994</v>
      </c>
      <c r="I395" s="3">
        <v>64.069999999999993</v>
      </c>
      <c r="J395" s="3">
        <v>20</v>
      </c>
      <c r="K395" s="3" t="s">
        <v>15</v>
      </c>
      <c r="L395" s="3">
        <f t="shared" si="24"/>
        <v>4</v>
      </c>
      <c r="M395" s="4">
        <f t="shared" si="25"/>
        <v>0.89000000000000057</v>
      </c>
      <c r="N395" s="6">
        <f t="shared" si="26"/>
        <v>1.3700738916256167E-2</v>
      </c>
      <c r="O395" s="4">
        <f t="shared" si="27"/>
        <v>857.0700000000005</v>
      </c>
    </row>
    <row r="396" spans="1:15" x14ac:dyDescent="0.3">
      <c r="A396" s="3" t="s">
        <v>421</v>
      </c>
      <c r="B396" s="3" t="s">
        <v>20</v>
      </c>
      <c r="C396" s="5">
        <v>45241</v>
      </c>
      <c r="D396" s="5">
        <v>45248</v>
      </c>
      <c r="E396" s="3" t="s">
        <v>21</v>
      </c>
      <c r="F396" s="3" t="s">
        <v>18</v>
      </c>
      <c r="G396" s="3">
        <v>1969</v>
      </c>
      <c r="H396" s="3">
        <v>71.709999999999994</v>
      </c>
      <c r="I396" s="3">
        <v>61.96</v>
      </c>
      <c r="J396" s="3"/>
      <c r="K396" s="3" t="s">
        <v>15</v>
      </c>
      <c r="L396" s="3">
        <f t="shared" si="24"/>
        <v>7</v>
      </c>
      <c r="M396" s="4">
        <f t="shared" si="25"/>
        <v>9.7499999999999929</v>
      </c>
      <c r="N396" s="6">
        <f t="shared" si="26"/>
        <v>0.13596430065541756</v>
      </c>
      <c r="O396" s="4">
        <f t="shared" si="27"/>
        <v>19197.749999999985</v>
      </c>
    </row>
    <row r="397" spans="1:15" x14ac:dyDescent="0.3">
      <c r="A397" s="3" t="s">
        <v>422</v>
      </c>
      <c r="B397" s="3" t="s">
        <v>17</v>
      </c>
      <c r="C397" s="5">
        <v>44668</v>
      </c>
      <c r="D397" s="3"/>
      <c r="E397" s="3" t="s">
        <v>39</v>
      </c>
      <c r="F397" s="3" t="s">
        <v>18</v>
      </c>
      <c r="G397" s="3">
        <v>927</v>
      </c>
      <c r="H397" s="3">
        <v>48.89</v>
      </c>
      <c r="I397" s="3">
        <v>46.05</v>
      </c>
      <c r="J397" s="3">
        <v>138</v>
      </c>
      <c r="K397" s="3" t="s">
        <v>15</v>
      </c>
      <c r="L397" s="3" t="str">
        <f t="shared" si="24"/>
        <v/>
      </c>
      <c r="M397" s="4">
        <f t="shared" si="25"/>
        <v>2.8400000000000034</v>
      </c>
      <c r="N397" s="6">
        <f t="shared" si="26"/>
        <v>5.8089588872980227E-2</v>
      </c>
      <c r="O397" s="4">
        <f t="shared" si="27"/>
        <v>2632.680000000003</v>
      </c>
    </row>
    <row r="398" spans="1:15" x14ac:dyDescent="0.3">
      <c r="A398" s="3" t="s">
        <v>423</v>
      </c>
      <c r="B398" s="3" t="s">
        <v>17</v>
      </c>
      <c r="C398" s="5">
        <v>44699</v>
      </c>
      <c r="D398" s="5">
        <v>44704</v>
      </c>
      <c r="E398" s="3" t="s">
        <v>26</v>
      </c>
      <c r="F398" s="3" t="s">
        <v>14</v>
      </c>
      <c r="G398" s="3">
        <v>387</v>
      </c>
      <c r="H398" s="3">
        <v>77.81</v>
      </c>
      <c r="I398" s="3">
        <v>69.040000000000006</v>
      </c>
      <c r="J398" s="3">
        <v>67</v>
      </c>
      <c r="K398" s="3" t="s">
        <v>15</v>
      </c>
      <c r="L398" s="3">
        <f t="shared" si="24"/>
        <v>5</v>
      </c>
      <c r="M398" s="4">
        <f t="shared" si="25"/>
        <v>8.769999999999996</v>
      </c>
      <c r="N398" s="6">
        <f t="shared" si="26"/>
        <v>0.11271044852846672</v>
      </c>
      <c r="O398" s="4">
        <f t="shared" si="27"/>
        <v>3393.9899999999984</v>
      </c>
    </row>
    <row r="399" spans="1:15" x14ac:dyDescent="0.3">
      <c r="A399" s="3" t="s">
        <v>424</v>
      </c>
      <c r="B399" s="3" t="s">
        <v>23</v>
      </c>
      <c r="C399" s="5">
        <v>44832</v>
      </c>
      <c r="D399" s="5">
        <v>44837</v>
      </c>
      <c r="E399" s="3" t="s">
        <v>39</v>
      </c>
      <c r="F399" s="3" t="s">
        <v>18</v>
      </c>
      <c r="G399" s="3">
        <v>1779</v>
      </c>
      <c r="H399" s="3">
        <v>97.86</v>
      </c>
      <c r="I399" s="3">
        <v>94.36</v>
      </c>
      <c r="J399" s="3">
        <v>176</v>
      </c>
      <c r="K399" s="3" t="s">
        <v>15</v>
      </c>
      <c r="L399" s="3">
        <f t="shared" si="24"/>
        <v>5</v>
      </c>
      <c r="M399" s="4">
        <f t="shared" si="25"/>
        <v>3.5</v>
      </c>
      <c r="N399" s="6">
        <f t="shared" si="26"/>
        <v>3.5765379113018601E-2</v>
      </c>
      <c r="O399" s="4">
        <f t="shared" si="27"/>
        <v>6226.5</v>
      </c>
    </row>
    <row r="400" spans="1:15" x14ac:dyDescent="0.3">
      <c r="A400" s="3" t="s">
        <v>425</v>
      </c>
      <c r="B400" s="3" t="s">
        <v>20</v>
      </c>
      <c r="C400" s="5">
        <v>44680</v>
      </c>
      <c r="D400" s="5">
        <v>44686</v>
      </c>
      <c r="E400" s="3" t="s">
        <v>21</v>
      </c>
      <c r="F400" s="3" t="s">
        <v>35</v>
      </c>
      <c r="G400" s="3">
        <v>871</v>
      </c>
      <c r="H400" s="3">
        <v>94.7</v>
      </c>
      <c r="I400" s="3">
        <v>92.66</v>
      </c>
      <c r="J400" s="3">
        <v>46</v>
      </c>
      <c r="K400" s="3" t="s">
        <v>15</v>
      </c>
      <c r="L400" s="3">
        <f t="shared" si="24"/>
        <v>6</v>
      </c>
      <c r="M400" s="4">
        <f t="shared" si="25"/>
        <v>2.0400000000000063</v>
      </c>
      <c r="N400" s="6">
        <f t="shared" si="26"/>
        <v>2.1541710665258777E-2</v>
      </c>
      <c r="O400" s="4">
        <f t="shared" si="27"/>
        <v>1776.8400000000054</v>
      </c>
    </row>
    <row r="401" spans="1:15" x14ac:dyDescent="0.3">
      <c r="A401" s="3" t="s">
        <v>426</v>
      </c>
      <c r="B401" s="3" t="s">
        <v>29</v>
      </c>
      <c r="C401" s="5">
        <v>44671</v>
      </c>
      <c r="D401" s="5">
        <v>44674</v>
      </c>
      <c r="E401" s="3" t="s">
        <v>39</v>
      </c>
      <c r="F401" s="3" t="s">
        <v>18</v>
      </c>
      <c r="G401" s="3">
        <v>1236</v>
      </c>
      <c r="H401" s="3">
        <v>51.33</v>
      </c>
      <c r="I401" s="3">
        <v>44.03</v>
      </c>
      <c r="J401" s="3">
        <v>25</v>
      </c>
      <c r="K401" s="3" t="s">
        <v>15</v>
      </c>
      <c r="L401" s="3">
        <f t="shared" si="24"/>
        <v>3</v>
      </c>
      <c r="M401" s="4">
        <f t="shared" si="25"/>
        <v>7.2999999999999972</v>
      </c>
      <c r="N401" s="6">
        <f t="shared" si="26"/>
        <v>0.14221702707968045</v>
      </c>
      <c r="O401" s="4">
        <f t="shared" si="27"/>
        <v>9022.7999999999956</v>
      </c>
    </row>
    <row r="402" spans="1:15" x14ac:dyDescent="0.3">
      <c r="A402" s="3" t="s">
        <v>427</v>
      </c>
      <c r="B402" s="3" t="s">
        <v>17</v>
      </c>
      <c r="C402" s="5">
        <v>45128</v>
      </c>
      <c r="D402" s="5">
        <v>45144</v>
      </c>
      <c r="E402" s="3" t="s">
        <v>39</v>
      </c>
      <c r="F402" s="3" t="s">
        <v>18</v>
      </c>
      <c r="G402" s="3">
        <v>1793</v>
      </c>
      <c r="H402" s="3">
        <v>22.01</v>
      </c>
      <c r="I402" s="3">
        <v>21.78</v>
      </c>
      <c r="J402" s="3">
        <v>285</v>
      </c>
      <c r="K402" s="3" t="s">
        <v>15</v>
      </c>
      <c r="L402" s="3">
        <f t="shared" si="24"/>
        <v>16</v>
      </c>
      <c r="M402" s="4">
        <f t="shared" si="25"/>
        <v>0.23000000000000043</v>
      </c>
      <c r="N402" s="6">
        <f t="shared" si="26"/>
        <v>1.0449795547478437E-2</v>
      </c>
      <c r="O402" s="4">
        <f t="shared" si="27"/>
        <v>412.39000000000078</v>
      </c>
    </row>
    <row r="403" spans="1:15" x14ac:dyDescent="0.3">
      <c r="A403" s="3" t="s">
        <v>428</v>
      </c>
      <c r="B403" s="3" t="s">
        <v>17</v>
      </c>
      <c r="C403" s="5">
        <v>44721</v>
      </c>
      <c r="D403" s="5">
        <v>44740</v>
      </c>
      <c r="E403" s="3" t="s">
        <v>21</v>
      </c>
      <c r="F403" s="3" t="s">
        <v>18</v>
      </c>
      <c r="G403" s="3">
        <v>1006</v>
      </c>
      <c r="H403" s="3">
        <v>101.1</v>
      </c>
      <c r="I403" s="3">
        <v>89.04</v>
      </c>
      <c r="J403" s="3">
        <v>139</v>
      </c>
      <c r="K403" s="3" t="s">
        <v>15</v>
      </c>
      <c r="L403" s="3">
        <f t="shared" si="24"/>
        <v>19</v>
      </c>
      <c r="M403" s="4">
        <f t="shared" si="25"/>
        <v>12.059999999999988</v>
      </c>
      <c r="N403" s="6">
        <f t="shared" si="26"/>
        <v>0.11928783382789307</v>
      </c>
      <c r="O403" s="4">
        <f t="shared" si="27"/>
        <v>12132.359999999988</v>
      </c>
    </row>
    <row r="404" spans="1:15" x14ac:dyDescent="0.3">
      <c r="A404" s="3" t="s">
        <v>429</v>
      </c>
      <c r="B404" s="3" t="s">
        <v>23</v>
      </c>
      <c r="C404" s="5">
        <v>44840</v>
      </c>
      <c r="D404" s="5">
        <v>44855</v>
      </c>
      <c r="E404" s="3" t="s">
        <v>39</v>
      </c>
      <c r="F404" s="3" t="s">
        <v>14</v>
      </c>
      <c r="G404" s="3">
        <v>1754</v>
      </c>
      <c r="H404" s="3">
        <v>89.35</v>
      </c>
      <c r="I404" s="3">
        <v>86.54</v>
      </c>
      <c r="J404" s="3">
        <v>161</v>
      </c>
      <c r="K404" s="3" t="s">
        <v>27</v>
      </c>
      <c r="L404" s="3">
        <f t="shared" si="24"/>
        <v>15</v>
      </c>
      <c r="M404" s="4">
        <f t="shared" si="25"/>
        <v>2.8099999999999881</v>
      </c>
      <c r="N404" s="6">
        <f t="shared" si="26"/>
        <v>3.1449356463346262E-2</v>
      </c>
      <c r="O404" s="4">
        <f t="shared" si="27"/>
        <v>4928.7399999999789</v>
      </c>
    </row>
    <row r="405" spans="1:15" x14ac:dyDescent="0.3">
      <c r="A405" s="3" t="s">
        <v>430</v>
      </c>
      <c r="B405" s="3" t="s">
        <v>29</v>
      </c>
      <c r="C405" s="5">
        <v>44850</v>
      </c>
      <c r="D405" s="5">
        <v>44869</v>
      </c>
      <c r="E405" s="3" t="s">
        <v>39</v>
      </c>
      <c r="F405" s="3" t="s">
        <v>18</v>
      </c>
      <c r="G405" s="3">
        <v>210</v>
      </c>
      <c r="H405" s="3">
        <v>22.17</v>
      </c>
      <c r="I405" s="3">
        <v>21.32</v>
      </c>
      <c r="J405" s="3">
        <v>10</v>
      </c>
      <c r="K405" s="3" t="s">
        <v>15</v>
      </c>
      <c r="L405" s="3">
        <f t="shared" si="24"/>
        <v>19</v>
      </c>
      <c r="M405" s="4">
        <f t="shared" si="25"/>
        <v>0.85000000000000142</v>
      </c>
      <c r="N405" s="6">
        <f t="shared" si="26"/>
        <v>3.8340099233198074E-2</v>
      </c>
      <c r="O405" s="4">
        <f t="shared" si="27"/>
        <v>178.50000000000028</v>
      </c>
    </row>
    <row r="406" spans="1:15" x14ac:dyDescent="0.3">
      <c r="A406" s="3" t="s">
        <v>431</v>
      </c>
      <c r="B406" s="3" t="s">
        <v>17</v>
      </c>
      <c r="C406" s="5">
        <v>45181</v>
      </c>
      <c r="D406" s="5">
        <v>45201</v>
      </c>
      <c r="E406" s="3" t="s">
        <v>21</v>
      </c>
      <c r="F406" s="3" t="s">
        <v>18</v>
      </c>
      <c r="G406" s="3">
        <v>1653</v>
      </c>
      <c r="H406" s="3">
        <v>102.16</v>
      </c>
      <c r="I406" s="3">
        <v>91.91</v>
      </c>
      <c r="J406" s="3">
        <v>217</v>
      </c>
      <c r="K406" s="3" t="s">
        <v>15</v>
      </c>
      <c r="L406" s="3">
        <f t="shared" si="24"/>
        <v>20</v>
      </c>
      <c r="M406" s="4">
        <f t="shared" si="25"/>
        <v>10.25</v>
      </c>
      <c r="N406" s="6">
        <f t="shared" si="26"/>
        <v>0.10033281127642914</v>
      </c>
      <c r="O406" s="4">
        <f t="shared" si="27"/>
        <v>16943.25</v>
      </c>
    </row>
    <row r="407" spans="1:15" x14ac:dyDescent="0.3">
      <c r="A407" s="3" t="s">
        <v>432</v>
      </c>
      <c r="B407" s="3" t="s">
        <v>12</v>
      </c>
      <c r="C407" s="5">
        <v>44777</v>
      </c>
      <c r="D407" s="5">
        <v>44788</v>
      </c>
      <c r="E407" s="3" t="s">
        <v>21</v>
      </c>
      <c r="F407" s="3" t="s">
        <v>33</v>
      </c>
      <c r="G407" s="3">
        <v>850</v>
      </c>
      <c r="H407" s="3">
        <v>91.38</v>
      </c>
      <c r="I407" s="3">
        <v>88.41</v>
      </c>
      <c r="J407" s="3">
        <v>24</v>
      </c>
      <c r="K407" s="3" t="s">
        <v>15</v>
      </c>
      <c r="L407" s="3">
        <f t="shared" si="24"/>
        <v>11</v>
      </c>
      <c r="M407" s="4">
        <f t="shared" si="25"/>
        <v>2.9699999999999989</v>
      </c>
      <c r="N407" s="6">
        <f t="shared" si="26"/>
        <v>3.2501641497045292E-2</v>
      </c>
      <c r="O407" s="4">
        <f t="shared" si="27"/>
        <v>2524.4999999999991</v>
      </c>
    </row>
    <row r="408" spans="1:15" x14ac:dyDescent="0.3">
      <c r="A408" s="3" t="s">
        <v>433</v>
      </c>
      <c r="B408" s="3" t="s">
        <v>29</v>
      </c>
      <c r="C408" s="5">
        <v>44913</v>
      </c>
      <c r="D408" s="5">
        <v>44916</v>
      </c>
      <c r="E408" s="3" t="s">
        <v>26</v>
      </c>
      <c r="F408" s="3" t="s">
        <v>18</v>
      </c>
      <c r="G408" s="3">
        <v>447</v>
      </c>
      <c r="H408" s="3">
        <v>59.81</v>
      </c>
      <c r="I408" s="3">
        <v>57.92</v>
      </c>
      <c r="J408" s="3">
        <v>13</v>
      </c>
      <c r="K408" s="3" t="s">
        <v>15</v>
      </c>
      <c r="L408" s="3">
        <f t="shared" si="24"/>
        <v>3</v>
      </c>
      <c r="M408" s="4">
        <f t="shared" si="25"/>
        <v>1.8900000000000006</v>
      </c>
      <c r="N408" s="6">
        <f t="shared" si="26"/>
        <v>3.1600066878448428E-2</v>
      </c>
      <c r="O408" s="4">
        <f t="shared" si="27"/>
        <v>844.83000000000027</v>
      </c>
    </row>
    <row r="409" spans="1:15" x14ac:dyDescent="0.3">
      <c r="A409" s="3" t="s">
        <v>434</v>
      </c>
      <c r="B409" s="3" t="s">
        <v>20</v>
      </c>
      <c r="C409" s="5">
        <v>44770</v>
      </c>
      <c r="D409" s="5">
        <v>44780</v>
      </c>
      <c r="E409" s="3" t="s">
        <v>13</v>
      </c>
      <c r="F409" s="3" t="s">
        <v>18</v>
      </c>
      <c r="G409" s="3">
        <v>1350</v>
      </c>
      <c r="H409" s="3">
        <v>65.11</v>
      </c>
      <c r="I409" s="3">
        <v>56.95</v>
      </c>
      <c r="J409" s="3">
        <v>71</v>
      </c>
      <c r="K409" s="3" t="s">
        <v>15</v>
      </c>
      <c r="L409" s="3">
        <f t="shared" si="24"/>
        <v>10</v>
      </c>
      <c r="M409" s="4">
        <f t="shared" si="25"/>
        <v>8.1599999999999966</v>
      </c>
      <c r="N409" s="6">
        <f t="shared" si="26"/>
        <v>0.12532637075718012</v>
      </c>
      <c r="O409" s="4">
        <f t="shared" si="27"/>
        <v>11015.999999999995</v>
      </c>
    </row>
    <row r="410" spans="1:15" x14ac:dyDescent="0.3">
      <c r="A410" s="3" t="s">
        <v>435</v>
      </c>
      <c r="B410" s="3" t="s">
        <v>23</v>
      </c>
      <c r="C410" s="5">
        <v>45265</v>
      </c>
      <c r="D410" s="5">
        <v>45284</v>
      </c>
      <c r="E410" s="3" t="s">
        <v>13</v>
      </c>
      <c r="F410" s="3" t="s">
        <v>18</v>
      </c>
      <c r="G410" s="3">
        <v>865</v>
      </c>
      <c r="H410" s="3">
        <v>51.19</v>
      </c>
      <c r="I410" s="3">
        <v>47.76</v>
      </c>
      <c r="J410" s="3">
        <v>83</v>
      </c>
      <c r="K410" s="3" t="s">
        <v>15</v>
      </c>
      <c r="L410" s="3">
        <f t="shared" si="24"/>
        <v>19</v>
      </c>
      <c r="M410" s="4">
        <f t="shared" si="25"/>
        <v>3.4299999999999997</v>
      </c>
      <c r="N410" s="6">
        <f t="shared" si="26"/>
        <v>6.7005274467669462E-2</v>
      </c>
      <c r="O410" s="4">
        <f t="shared" si="27"/>
        <v>2966.95</v>
      </c>
    </row>
    <row r="411" spans="1:15" x14ac:dyDescent="0.3">
      <c r="A411" s="3" t="s">
        <v>436</v>
      </c>
      <c r="B411" s="3" t="s">
        <v>12</v>
      </c>
      <c r="C411" s="5">
        <v>45211</v>
      </c>
      <c r="D411" s="5">
        <v>45228</v>
      </c>
      <c r="E411" s="3" t="s">
        <v>21</v>
      </c>
      <c r="F411" s="3" t="s">
        <v>18</v>
      </c>
      <c r="G411" s="3">
        <v>1989</v>
      </c>
      <c r="H411" s="3">
        <v>16.5</v>
      </c>
      <c r="I411" s="3">
        <v>15.89</v>
      </c>
      <c r="J411" s="3">
        <v>57</v>
      </c>
      <c r="K411" s="3" t="s">
        <v>15</v>
      </c>
      <c r="L411" s="3">
        <f t="shared" si="24"/>
        <v>17</v>
      </c>
      <c r="M411" s="4">
        <f t="shared" si="25"/>
        <v>0.60999999999999943</v>
      </c>
      <c r="N411" s="6">
        <f t="shared" si="26"/>
        <v>3.6969696969696937E-2</v>
      </c>
      <c r="O411" s="4">
        <f t="shared" si="27"/>
        <v>1213.2899999999988</v>
      </c>
    </row>
    <row r="412" spans="1:15" x14ac:dyDescent="0.3">
      <c r="A412" s="3" t="s">
        <v>437</v>
      </c>
      <c r="B412" s="3" t="s">
        <v>12</v>
      </c>
      <c r="C412" s="5">
        <v>44832</v>
      </c>
      <c r="D412" s="5">
        <v>44847</v>
      </c>
      <c r="E412" s="3" t="s">
        <v>13</v>
      </c>
      <c r="F412" s="3" t="s">
        <v>18</v>
      </c>
      <c r="G412" s="3">
        <v>1577</v>
      </c>
      <c r="H412" s="3">
        <v>41.77</v>
      </c>
      <c r="I412" s="3">
        <v>39.58</v>
      </c>
      <c r="J412" s="3">
        <v>32</v>
      </c>
      <c r="K412" s="3" t="s">
        <v>15</v>
      </c>
      <c r="L412" s="3">
        <f t="shared" si="24"/>
        <v>15</v>
      </c>
      <c r="M412" s="4">
        <f t="shared" si="25"/>
        <v>2.1900000000000048</v>
      </c>
      <c r="N412" s="6">
        <f t="shared" si="26"/>
        <v>5.2429973665310145E-2</v>
      </c>
      <c r="O412" s="4">
        <f t="shared" si="27"/>
        <v>3453.6300000000078</v>
      </c>
    </row>
    <row r="413" spans="1:15" x14ac:dyDescent="0.3">
      <c r="A413" s="3" t="s">
        <v>438</v>
      </c>
      <c r="B413" s="3" t="s">
        <v>20</v>
      </c>
      <c r="C413" s="5">
        <v>45079</v>
      </c>
      <c r="D413" s="5">
        <v>45081</v>
      </c>
      <c r="E413" s="3" t="s">
        <v>24</v>
      </c>
      <c r="F413" s="3" t="s">
        <v>35</v>
      </c>
      <c r="G413" s="3">
        <v>1969</v>
      </c>
      <c r="H413" s="3">
        <v>89.25</v>
      </c>
      <c r="I413" s="3">
        <v>87.28</v>
      </c>
      <c r="J413" s="3">
        <v>108</v>
      </c>
      <c r="K413" s="3" t="s">
        <v>27</v>
      </c>
      <c r="L413" s="3">
        <f t="shared" si="24"/>
        <v>2</v>
      </c>
      <c r="M413" s="4">
        <f t="shared" si="25"/>
        <v>1.9699999999999989</v>
      </c>
      <c r="N413" s="6">
        <f t="shared" si="26"/>
        <v>2.2072829131652649E-2</v>
      </c>
      <c r="O413" s="4">
        <f t="shared" si="27"/>
        <v>3878.9299999999976</v>
      </c>
    </row>
    <row r="414" spans="1:15" x14ac:dyDescent="0.3">
      <c r="A414" s="3" t="s">
        <v>439</v>
      </c>
      <c r="B414" s="3" t="s">
        <v>23</v>
      </c>
      <c r="C414" s="5">
        <v>45062</v>
      </c>
      <c r="D414" s="5">
        <v>45072</v>
      </c>
      <c r="E414" s="3" t="s">
        <v>24</v>
      </c>
      <c r="F414" s="3" t="s">
        <v>33</v>
      </c>
      <c r="G414" s="3">
        <v>1465</v>
      </c>
      <c r="H414" s="3">
        <v>11.25</v>
      </c>
      <c r="I414" s="3">
        <v>9.61</v>
      </c>
      <c r="J414" s="3">
        <v>151</v>
      </c>
      <c r="K414" s="3" t="s">
        <v>15</v>
      </c>
      <c r="L414" s="3">
        <f t="shared" si="24"/>
        <v>10</v>
      </c>
      <c r="M414" s="4">
        <f t="shared" si="25"/>
        <v>1.6400000000000006</v>
      </c>
      <c r="N414" s="6">
        <f t="shared" si="26"/>
        <v>0.14577777777777784</v>
      </c>
      <c r="O414" s="4">
        <f t="shared" si="27"/>
        <v>2402.6000000000008</v>
      </c>
    </row>
    <row r="415" spans="1:15" x14ac:dyDescent="0.3">
      <c r="A415" s="3" t="s">
        <v>440</v>
      </c>
      <c r="B415" s="3" t="s">
        <v>17</v>
      </c>
      <c r="C415" s="5">
        <v>44819</v>
      </c>
      <c r="D415" s="5">
        <v>44822</v>
      </c>
      <c r="E415" s="3" t="s">
        <v>24</v>
      </c>
      <c r="F415" s="3" t="s">
        <v>35</v>
      </c>
      <c r="G415" s="3">
        <v>1208</v>
      </c>
      <c r="H415" s="3">
        <v>41.62</v>
      </c>
      <c r="I415" s="3">
        <v>39.46</v>
      </c>
      <c r="J415" s="3"/>
      <c r="K415" s="3" t="s">
        <v>15</v>
      </c>
      <c r="L415" s="3">
        <f t="shared" si="24"/>
        <v>3</v>
      </c>
      <c r="M415" s="4">
        <f t="shared" si="25"/>
        <v>2.1599999999999966</v>
      </c>
      <c r="N415" s="6">
        <f t="shared" si="26"/>
        <v>5.1898125901009048E-2</v>
      </c>
      <c r="O415" s="4">
        <f t="shared" si="27"/>
        <v>2609.2799999999961</v>
      </c>
    </row>
    <row r="416" spans="1:15" x14ac:dyDescent="0.3">
      <c r="A416" s="3" t="s">
        <v>441</v>
      </c>
      <c r="B416" s="3" t="s">
        <v>23</v>
      </c>
      <c r="C416" s="5">
        <v>44614</v>
      </c>
      <c r="D416" s="5">
        <v>44631</v>
      </c>
      <c r="E416" s="3" t="s">
        <v>26</v>
      </c>
      <c r="F416" s="3" t="s">
        <v>18</v>
      </c>
      <c r="G416" s="3">
        <v>1268</v>
      </c>
      <c r="H416" s="3">
        <v>46.06</v>
      </c>
      <c r="I416" s="3">
        <v>45.26</v>
      </c>
      <c r="J416" s="3">
        <v>123</v>
      </c>
      <c r="K416" s="3" t="s">
        <v>15</v>
      </c>
      <c r="L416" s="3">
        <f t="shared" si="24"/>
        <v>17</v>
      </c>
      <c r="M416" s="4">
        <f t="shared" si="25"/>
        <v>0.80000000000000426</v>
      </c>
      <c r="N416" s="6">
        <f t="shared" si="26"/>
        <v>1.7368649587494664E-2</v>
      </c>
      <c r="O416" s="4">
        <f t="shared" si="27"/>
        <v>1014.4000000000054</v>
      </c>
    </row>
    <row r="417" spans="1:15" x14ac:dyDescent="0.3">
      <c r="A417" s="3" t="s">
        <v>442</v>
      </c>
      <c r="B417" s="3" t="s">
        <v>17</v>
      </c>
      <c r="C417" s="5">
        <v>44656</v>
      </c>
      <c r="D417" s="5">
        <v>44675</v>
      </c>
      <c r="E417" s="3" t="s">
        <v>13</v>
      </c>
      <c r="F417" s="3" t="s">
        <v>18</v>
      </c>
      <c r="G417" s="3">
        <v>450</v>
      </c>
      <c r="H417" s="3">
        <v>59.24</v>
      </c>
      <c r="I417" s="3">
        <v>55.03</v>
      </c>
      <c r="J417" s="3">
        <v>68</v>
      </c>
      <c r="K417" s="3" t="s">
        <v>27</v>
      </c>
      <c r="L417" s="3">
        <f t="shared" si="24"/>
        <v>19</v>
      </c>
      <c r="M417" s="4">
        <f t="shared" si="25"/>
        <v>4.2100000000000009</v>
      </c>
      <c r="N417" s="6">
        <f t="shared" si="26"/>
        <v>7.1066846725185692E-2</v>
      </c>
      <c r="O417" s="4">
        <f t="shared" si="27"/>
        <v>1894.5000000000005</v>
      </c>
    </row>
    <row r="418" spans="1:15" x14ac:dyDescent="0.3">
      <c r="A418" s="3" t="s">
        <v>443</v>
      </c>
      <c r="B418" s="3" t="s">
        <v>20</v>
      </c>
      <c r="C418" s="5">
        <v>45211</v>
      </c>
      <c r="D418" s="5">
        <v>45213</v>
      </c>
      <c r="E418" s="3" t="s">
        <v>39</v>
      </c>
      <c r="F418" s="3" t="s">
        <v>33</v>
      </c>
      <c r="G418" s="3">
        <v>689</v>
      </c>
      <c r="H418" s="3">
        <v>102.53</v>
      </c>
      <c r="I418" s="3">
        <v>95.23</v>
      </c>
      <c r="J418" s="3">
        <v>38</v>
      </c>
      <c r="K418" s="3" t="s">
        <v>15</v>
      </c>
      <c r="L418" s="3">
        <f t="shared" si="24"/>
        <v>2</v>
      </c>
      <c r="M418" s="4">
        <f t="shared" si="25"/>
        <v>7.2999999999999972</v>
      </c>
      <c r="N418" s="6">
        <f t="shared" si="26"/>
        <v>7.1198673558958328E-2</v>
      </c>
      <c r="O418" s="4">
        <f t="shared" si="27"/>
        <v>5029.699999999998</v>
      </c>
    </row>
    <row r="419" spans="1:15" x14ac:dyDescent="0.3">
      <c r="A419" s="3" t="s">
        <v>444</v>
      </c>
      <c r="B419" s="3" t="s">
        <v>20</v>
      </c>
      <c r="C419" s="5">
        <v>44995</v>
      </c>
      <c r="D419" s="5">
        <v>45014</v>
      </c>
      <c r="E419" s="3" t="s">
        <v>21</v>
      </c>
      <c r="F419" s="3" t="s">
        <v>18</v>
      </c>
      <c r="G419" s="3">
        <v>1106</v>
      </c>
      <c r="H419" s="3">
        <v>44.05</v>
      </c>
      <c r="I419" s="3">
        <v>38.6</v>
      </c>
      <c r="J419" s="3">
        <v>51</v>
      </c>
      <c r="K419" s="3" t="s">
        <v>15</v>
      </c>
      <c r="L419" s="3">
        <f t="shared" si="24"/>
        <v>19</v>
      </c>
      <c r="M419" s="4">
        <f t="shared" si="25"/>
        <v>5.4499999999999957</v>
      </c>
      <c r="N419" s="6">
        <f t="shared" si="26"/>
        <v>0.12372304199772977</v>
      </c>
      <c r="O419" s="4">
        <f t="shared" si="27"/>
        <v>6027.6999999999953</v>
      </c>
    </row>
    <row r="420" spans="1:15" x14ac:dyDescent="0.3">
      <c r="A420" s="3" t="s">
        <v>445</v>
      </c>
      <c r="B420" s="3" t="s">
        <v>12</v>
      </c>
      <c r="C420" s="5">
        <v>44845</v>
      </c>
      <c r="D420" s="5">
        <v>44856</v>
      </c>
      <c r="E420" s="3" t="s">
        <v>13</v>
      </c>
      <c r="F420" s="3" t="s">
        <v>18</v>
      </c>
      <c r="G420" s="3">
        <v>737</v>
      </c>
      <c r="H420" s="3">
        <v>43.08</v>
      </c>
      <c r="I420" s="3">
        <v>42.58</v>
      </c>
      <c r="J420" s="3">
        <v>21</v>
      </c>
      <c r="K420" s="3" t="s">
        <v>15</v>
      </c>
      <c r="L420" s="3">
        <f t="shared" si="24"/>
        <v>11</v>
      </c>
      <c r="M420" s="4">
        <f t="shared" si="25"/>
        <v>0.5</v>
      </c>
      <c r="N420" s="6">
        <f t="shared" si="26"/>
        <v>1.1606313834726092E-2</v>
      </c>
      <c r="O420" s="4">
        <f t="shared" si="27"/>
        <v>368.5</v>
      </c>
    </row>
    <row r="421" spans="1:15" x14ac:dyDescent="0.3">
      <c r="A421" s="3" t="s">
        <v>446</v>
      </c>
      <c r="B421" s="3" t="s">
        <v>12</v>
      </c>
      <c r="C421" s="5">
        <v>44607</v>
      </c>
      <c r="D421" s="5">
        <v>44624</v>
      </c>
      <c r="E421" s="3" t="s">
        <v>26</v>
      </c>
      <c r="F421" s="3" t="s">
        <v>18</v>
      </c>
      <c r="G421" s="3">
        <v>509</v>
      </c>
      <c r="H421" s="3">
        <v>76.760000000000005</v>
      </c>
      <c r="I421" s="3">
        <v>74.72</v>
      </c>
      <c r="J421" s="3">
        <v>7</v>
      </c>
      <c r="K421" s="3" t="s">
        <v>27</v>
      </c>
      <c r="L421" s="3">
        <f t="shared" si="24"/>
        <v>17</v>
      </c>
      <c r="M421" s="4">
        <f t="shared" si="25"/>
        <v>2.0400000000000063</v>
      </c>
      <c r="N421" s="6">
        <f t="shared" si="26"/>
        <v>2.6576341844710867E-2</v>
      </c>
      <c r="O421" s="4">
        <f t="shared" si="27"/>
        <v>1038.3600000000031</v>
      </c>
    </row>
    <row r="422" spans="1:15" x14ac:dyDescent="0.3">
      <c r="A422" s="3" t="s">
        <v>447</v>
      </c>
      <c r="B422" s="3" t="s">
        <v>12</v>
      </c>
      <c r="C422" s="5">
        <v>44565</v>
      </c>
      <c r="D422" s="5">
        <v>44567</v>
      </c>
      <c r="E422" s="3" t="s">
        <v>39</v>
      </c>
      <c r="F422" s="3" t="s">
        <v>18</v>
      </c>
      <c r="G422" s="3">
        <v>1004</v>
      </c>
      <c r="H422" s="3">
        <v>50.7</v>
      </c>
      <c r="I422" s="3">
        <v>46.59</v>
      </c>
      <c r="J422" s="3">
        <v>27</v>
      </c>
      <c r="K422" s="3" t="s">
        <v>15</v>
      </c>
      <c r="L422" s="3">
        <f t="shared" si="24"/>
        <v>2</v>
      </c>
      <c r="M422" s="4">
        <f t="shared" si="25"/>
        <v>4.1099999999999994</v>
      </c>
      <c r="N422" s="6">
        <f t="shared" si="26"/>
        <v>8.1065088757396431E-2</v>
      </c>
      <c r="O422" s="4">
        <f t="shared" si="27"/>
        <v>4126.4399999999996</v>
      </c>
    </row>
    <row r="423" spans="1:15" x14ac:dyDescent="0.3">
      <c r="A423" s="3" t="s">
        <v>448</v>
      </c>
      <c r="B423" s="3" t="s">
        <v>20</v>
      </c>
      <c r="C423" s="5">
        <v>44903</v>
      </c>
      <c r="D423" s="5">
        <v>44914</v>
      </c>
      <c r="E423" s="3" t="s">
        <v>21</v>
      </c>
      <c r="F423" s="3" t="s">
        <v>35</v>
      </c>
      <c r="G423" s="3">
        <v>1956</v>
      </c>
      <c r="H423" s="3">
        <v>31.88</v>
      </c>
      <c r="I423" s="3">
        <v>28.48</v>
      </c>
      <c r="J423" s="3">
        <v>86</v>
      </c>
      <c r="K423" s="3" t="s">
        <v>15</v>
      </c>
      <c r="L423" s="3">
        <f t="shared" si="24"/>
        <v>11</v>
      </c>
      <c r="M423" s="4">
        <f t="shared" si="25"/>
        <v>3.3999999999999986</v>
      </c>
      <c r="N423" s="6">
        <f t="shared" si="26"/>
        <v>0.10664993726474274</v>
      </c>
      <c r="O423" s="4">
        <f t="shared" si="27"/>
        <v>6650.3999999999969</v>
      </c>
    </row>
    <row r="424" spans="1:15" x14ac:dyDescent="0.3">
      <c r="A424" s="3" t="s">
        <v>449</v>
      </c>
      <c r="B424" s="3" t="s">
        <v>17</v>
      </c>
      <c r="C424" s="5">
        <v>44695</v>
      </c>
      <c r="D424" s="3"/>
      <c r="E424" s="3" t="s">
        <v>39</v>
      </c>
      <c r="F424" s="3" t="s">
        <v>18</v>
      </c>
      <c r="G424" s="3">
        <v>519</v>
      </c>
      <c r="H424" s="3">
        <v>51.73</v>
      </c>
      <c r="I424" s="3">
        <v>47.52</v>
      </c>
      <c r="J424" s="3">
        <v>81</v>
      </c>
      <c r="K424" s="3" t="s">
        <v>27</v>
      </c>
      <c r="L424" s="3" t="str">
        <f t="shared" si="24"/>
        <v/>
      </c>
      <c r="M424" s="4">
        <f t="shared" si="25"/>
        <v>4.2099999999999937</v>
      </c>
      <c r="N424" s="6">
        <f t="shared" si="26"/>
        <v>8.1384109800889115E-2</v>
      </c>
      <c r="O424" s="4">
        <f t="shared" si="27"/>
        <v>2184.9899999999966</v>
      </c>
    </row>
    <row r="425" spans="1:15" x14ac:dyDescent="0.3">
      <c r="A425" s="3" t="s">
        <v>450</v>
      </c>
      <c r="B425" s="3" t="s">
        <v>20</v>
      </c>
      <c r="C425" s="5">
        <v>45214</v>
      </c>
      <c r="D425" s="5">
        <v>45220</v>
      </c>
      <c r="E425" s="3" t="s">
        <v>21</v>
      </c>
      <c r="F425" s="3" t="s">
        <v>33</v>
      </c>
      <c r="G425" s="3">
        <v>1448</v>
      </c>
      <c r="H425" s="3">
        <v>25.06</v>
      </c>
      <c r="I425" s="3">
        <v>21.62</v>
      </c>
      <c r="J425" s="3">
        <v>84</v>
      </c>
      <c r="K425" s="3" t="s">
        <v>15</v>
      </c>
      <c r="L425" s="3">
        <f t="shared" si="24"/>
        <v>6</v>
      </c>
      <c r="M425" s="4">
        <f t="shared" si="25"/>
        <v>3.4399999999999977</v>
      </c>
      <c r="N425" s="6">
        <f t="shared" si="26"/>
        <v>0.13727055067837182</v>
      </c>
      <c r="O425" s="4">
        <f t="shared" si="27"/>
        <v>4981.1199999999972</v>
      </c>
    </row>
    <row r="426" spans="1:15" x14ac:dyDescent="0.3">
      <c r="A426" s="3" t="s">
        <v>451</v>
      </c>
      <c r="B426" s="3" t="s">
        <v>20</v>
      </c>
      <c r="C426" s="5">
        <v>44830</v>
      </c>
      <c r="D426" s="5">
        <v>44845</v>
      </c>
      <c r="E426" s="3" t="s">
        <v>24</v>
      </c>
      <c r="F426" s="3" t="s">
        <v>18</v>
      </c>
      <c r="G426" s="3">
        <v>1095</v>
      </c>
      <c r="H426" s="3">
        <v>26.91</v>
      </c>
      <c r="I426" s="3">
        <v>23.75</v>
      </c>
      <c r="J426" s="3">
        <v>53</v>
      </c>
      <c r="K426" s="3" t="s">
        <v>15</v>
      </c>
      <c r="L426" s="3">
        <f t="shared" si="24"/>
        <v>15</v>
      </c>
      <c r="M426" s="4">
        <f t="shared" si="25"/>
        <v>3.16</v>
      </c>
      <c r="N426" s="6">
        <f t="shared" si="26"/>
        <v>0.11742846525455222</v>
      </c>
      <c r="O426" s="4">
        <f t="shared" si="27"/>
        <v>3460.2000000000003</v>
      </c>
    </row>
    <row r="427" spans="1:15" x14ac:dyDescent="0.3">
      <c r="A427" s="3" t="s">
        <v>452</v>
      </c>
      <c r="B427" s="3" t="s">
        <v>12</v>
      </c>
      <c r="C427" s="5">
        <v>44727</v>
      </c>
      <c r="D427" s="3"/>
      <c r="E427" s="3" t="s">
        <v>21</v>
      </c>
      <c r="F427" s="3" t="s">
        <v>18</v>
      </c>
      <c r="G427" s="3">
        <v>799</v>
      </c>
      <c r="H427" s="3">
        <v>56.22</v>
      </c>
      <c r="I427" s="3">
        <v>49.51</v>
      </c>
      <c r="J427" s="3">
        <v>18</v>
      </c>
      <c r="K427" s="3" t="s">
        <v>15</v>
      </c>
      <c r="L427" s="3" t="str">
        <f t="shared" si="24"/>
        <v/>
      </c>
      <c r="M427" s="4">
        <f t="shared" si="25"/>
        <v>6.7100000000000009</v>
      </c>
      <c r="N427" s="6">
        <f t="shared" si="26"/>
        <v>0.1193525435787976</v>
      </c>
      <c r="O427" s="4">
        <f t="shared" si="27"/>
        <v>5361.2900000000009</v>
      </c>
    </row>
    <row r="428" spans="1:15" x14ac:dyDescent="0.3">
      <c r="A428" s="3" t="s">
        <v>453</v>
      </c>
      <c r="B428" s="3" t="s">
        <v>23</v>
      </c>
      <c r="C428" s="5">
        <v>45014</v>
      </c>
      <c r="D428" s="5">
        <v>45034</v>
      </c>
      <c r="E428" s="3" t="s">
        <v>21</v>
      </c>
      <c r="F428" s="3" t="s">
        <v>33</v>
      </c>
      <c r="G428" s="3">
        <v>1743</v>
      </c>
      <c r="H428" s="3">
        <v>51.04</v>
      </c>
      <c r="I428" s="3">
        <v>47.15</v>
      </c>
      <c r="J428" s="3">
        <v>160</v>
      </c>
      <c r="K428" s="3" t="s">
        <v>15</v>
      </c>
      <c r="L428" s="3">
        <f t="shared" si="24"/>
        <v>20</v>
      </c>
      <c r="M428" s="4">
        <f t="shared" si="25"/>
        <v>3.8900000000000006</v>
      </c>
      <c r="N428" s="6">
        <f t="shared" si="26"/>
        <v>7.6214733542319765E-2</v>
      </c>
      <c r="O428" s="4">
        <f t="shared" si="27"/>
        <v>6780.2700000000013</v>
      </c>
    </row>
    <row r="429" spans="1:15" x14ac:dyDescent="0.3">
      <c r="A429" s="3" t="s">
        <v>454</v>
      </c>
      <c r="B429" s="3" t="s">
        <v>12</v>
      </c>
      <c r="C429" s="5">
        <v>45126</v>
      </c>
      <c r="D429" s="5">
        <v>45138</v>
      </c>
      <c r="E429" s="3" t="s">
        <v>26</v>
      </c>
      <c r="F429" s="3" t="s">
        <v>18</v>
      </c>
      <c r="G429" s="3">
        <v>87</v>
      </c>
      <c r="H429" s="3">
        <v>100.65</v>
      </c>
      <c r="I429" s="3">
        <v>85.56</v>
      </c>
      <c r="J429" s="3">
        <v>1</v>
      </c>
      <c r="K429" s="3" t="s">
        <v>15</v>
      </c>
      <c r="L429" s="3">
        <f t="shared" si="24"/>
        <v>12</v>
      </c>
      <c r="M429" s="4">
        <f t="shared" si="25"/>
        <v>15.090000000000003</v>
      </c>
      <c r="N429" s="6">
        <f t="shared" si="26"/>
        <v>0.14992548435171388</v>
      </c>
      <c r="O429" s="4">
        <f t="shared" si="27"/>
        <v>1312.8300000000004</v>
      </c>
    </row>
    <row r="430" spans="1:15" x14ac:dyDescent="0.3">
      <c r="A430" s="3" t="s">
        <v>455</v>
      </c>
      <c r="B430" s="3" t="s">
        <v>23</v>
      </c>
      <c r="C430" s="5">
        <v>45284</v>
      </c>
      <c r="D430" s="3"/>
      <c r="E430" s="3" t="s">
        <v>26</v>
      </c>
      <c r="F430" s="3" t="s">
        <v>18</v>
      </c>
      <c r="G430" s="3">
        <v>279</v>
      </c>
      <c r="H430" s="3">
        <v>47.52</v>
      </c>
      <c r="I430" s="3">
        <v>46.5</v>
      </c>
      <c r="J430" s="3">
        <v>28</v>
      </c>
      <c r="K430" s="3" t="s">
        <v>27</v>
      </c>
      <c r="L430" s="3" t="str">
        <f t="shared" si="24"/>
        <v/>
      </c>
      <c r="M430" s="4">
        <f t="shared" si="25"/>
        <v>1.0200000000000031</v>
      </c>
      <c r="N430" s="6">
        <f t="shared" si="26"/>
        <v>2.146464646464653E-2</v>
      </c>
      <c r="O430" s="4">
        <f t="shared" si="27"/>
        <v>284.58000000000089</v>
      </c>
    </row>
    <row r="431" spans="1:15" x14ac:dyDescent="0.3">
      <c r="A431" s="3" t="s">
        <v>456</v>
      </c>
      <c r="B431" s="3" t="s">
        <v>17</v>
      </c>
      <c r="C431" s="5">
        <v>44999</v>
      </c>
      <c r="D431" s="5">
        <v>45010</v>
      </c>
      <c r="E431" s="3" t="s">
        <v>26</v>
      </c>
      <c r="F431" s="3" t="s">
        <v>18</v>
      </c>
      <c r="G431" s="3">
        <v>1438</v>
      </c>
      <c r="H431" s="3">
        <v>66.61</v>
      </c>
      <c r="I431" s="3">
        <v>58.5</v>
      </c>
      <c r="J431" s="3">
        <v>237</v>
      </c>
      <c r="K431" s="3" t="s">
        <v>15</v>
      </c>
      <c r="L431" s="3">
        <f t="shared" si="24"/>
        <v>11</v>
      </c>
      <c r="M431" s="4">
        <f t="shared" si="25"/>
        <v>8.11</v>
      </c>
      <c r="N431" s="6">
        <f t="shared" si="26"/>
        <v>0.12175349046689686</v>
      </c>
      <c r="O431" s="4">
        <f t="shared" si="27"/>
        <v>11662.179999999998</v>
      </c>
    </row>
    <row r="432" spans="1:15" x14ac:dyDescent="0.3">
      <c r="A432" s="3" t="s">
        <v>457</v>
      </c>
      <c r="B432" s="3" t="s">
        <v>17</v>
      </c>
      <c r="C432" s="5">
        <v>45136</v>
      </c>
      <c r="D432" s="5">
        <v>45138</v>
      </c>
      <c r="E432" s="3" t="s">
        <v>13</v>
      </c>
      <c r="F432" s="3" t="s">
        <v>33</v>
      </c>
      <c r="G432" s="3">
        <v>612</v>
      </c>
      <c r="H432" s="3">
        <v>72.930000000000007</v>
      </c>
      <c r="I432" s="3">
        <v>63.32</v>
      </c>
      <c r="J432" s="3">
        <v>99</v>
      </c>
      <c r="K432" s="3" t="s">
        <v>15</v>
      </c>
      <c r="L432" s="3">
        <f t="shared" si="24"/>
        <v>2</v>
      </c>
      <c r="M432" s="4">
        <f t="shared" si="25"/>
        <v>9.6100000000000065</v>
      </c>
      <c r="N432" s="6">
        <f t="shared" si="26"/>
        <v>0.13177019059372008</v>
      </c>
      <c r="O432" s="4">
        <f t="shared" si="27"/>
        <v>5881.3200000000043</v>
      </c>
    </row>
    <row r="433" spans="1:15" x14ac:dyDescent="0.3">
      <c r="A433" s="3" t="s">
        <v>458</v>
      </c>
      <c r="B433" s="3" t="s">
        <v>29</v>
      </c>
      <c r="C433" s="5">
        <v>44571</v>
      </c>
      <c r="D433" s="5">
        <v>44582</v>
      </c>
      <c r="E433" s="3" t="s">
        <v>24</v>
      </c>
      <c r="F433" s="3" t="s">
        <v>35</v>
      </c>
      <c r="G433" s="3">
        <v>487</v>
      </c>
      <c r="H433" s="3">
        <v>11.18</v>
      </c>
      <c r="I433" s="3">
        <v>10.63</v>
      </c>
      <c r="J433" s="3">
        <v>15</v>
      </c>
      <c r="K433" s="3" t="s">
        <v>15</v>
      </c>
      <c r="L433" s="3">
        <f t="shared" si="24"/>
        <v>11</v>
      </c>
      <c r="M433" s="4">
        <f t="shared" si="25"/>
        <v>0.54999999999999893</v>
      </c>
      <c r="N433" s="6">
        <f t="shared" si="26"/>
        <v>4.9194991055456078E-2</v>
      </c>
      <c r="O433" s="4">
        <f t="shared" si="27"/>
        <v>267.84999999999945</v>
      </c>
    </row>
    <row r="434" spans="1:15" x14ac:dyDescent="0.3">
      <c r="A434" s="3" t="s">
        <v>459</v>
      </c>
      <c r="B434" s="3" t="s">
        <v>29</v>
      </c>
      <c r="C434" s="5">
        <v>44676</v>
      </c>
      <c r="D434" s="5">
        <v>44680</v>
      </c>
      <c r="E434" s="3" t="s">
        <v>24</v>
      </c>
      <c r="F434" s="3" t="s">
        <v>33</v>
      </c>
      <c r="G434" s="3">
        <v>1849</v>
      </c>
      <c r="H434" s="3">
        <v>70.760000000000005</v>
      </c>
      <c r="I434" s="3">
        <v>69.25</v>
      </c>
      <c r="J434" s="3">
        <v>51</v>
      </c>
      <c r="K434" s="3" t="s">
        <v>15</v>
      </c>
      <c r="L434" s="3">
        <f t="shared" si="24"/>
        <v>4</v>
      </c>
      <c r="M434" s="4">
        <f t="shared" si="25"/>
        <v>1.5100000000000051</v>
      </c>
      <c r="N434" s="6">
        <f t="shared" si="26"/>
        <v>2.1339739966082603E-2</v>
      </c>
      <c r="O434" s="4">
        <f t="shared" si="27"/>
        <v>2791.9900000000093</v>
      </c>
    </row>
    <row r="435" spans="1:15" x14ac:dyDescent="0.3">
      <c r="A435" s="3" t="s">
        <v>460</v>
      </c>
      <c r="B435" s="3" t="s">
        <v>29</v>
      </c>
      <c r="C435" s="5">
        <v>44639</v>
      </c>
      <c r="D435" s="5">
        <v>44652</v>
      </c>
      <c r="E435" s="3" t="s">
        <v>21</v>
      </c>
      <c r="F435" s="3" t="s">
        <v>33</v>
      </c>
      <c r="G435" s="3">
        <v>1356</v>
      </c>
      <c r="H435" s="3">
        <v>26.28</v>
      </c>
      <c r="I435" s="3">
        <v>25.44</v>
      </c>
      <c r="J435" s="3">
        <v>47</v>
      </c>
      <c r="K435" s="3" t="s">
        <v>15</v>
      </c>
      <c r="L435" s="3">
        <f t="shared" si="24"/>
        <v>13</v>
      </c>
      <c r="M435" s="4">
        <f t="shared" si="25"/>
        <v>0.83999999999999986</v>
      </c>
      <c r="N435" s="6">
        <f t="shared" si="26"/>
        <v>3.1963470319634694E-2</v>
      </c>
      <c r="O435" s="4">
        <f t="shared" si="27"/>
        <v>1139.0399999999997</v>
      </c>
    </row>
    <row r="436" spans="1:15" x14ac:dyDescent="0.3">
      <c r="A436" s="3" t="s">
        <v>461</v>
      </c>
      <c r="B436" s="3" t="s">
        <v>17</v>
      </c>
      <c r="C436" s="5">
        <v>45269</v>
      </c>
      <c r="D436" s="5">
        <v>45289</v>
      </c>
      <c r="E436" s="3" t="s">
        <v>26</v>
      </c>
      <c r="F436" s="3" t="s">
        <v>18</v>
      </c>
      <c r="G436" s="3">
        <v>76</v>
      </c>
      <c r="H436" s="3">
        <v>107.59</v>
      </c>
      <c r="I436" s="3">
        <v>96.33</v>
      </c>
      <c r="J436" s="3">
        <v>10</v>
      </c>
      <c r="K436" s="3" t="s">
        <v>15</v>
      </c>
      <c r="L436" s="3">
        <f t="shared" si="24"/>
        <v>20</v>
      </c>
      <c r="M436" s="4">
        <f t="shared" si="25"/>
        <v>11.260000000000005</v>
      </c>
      <c r="N436" s="6">
        <f t="shared" si="26"/>
        <v>0.10465656659540853</v>
      </c>
      <c r="O436" s="4">
        <f t="shared" si="27"/>
        <v>855.76000000000045</v>
      </c>
    </row>
    <row r="437" spans="1:15" x14ac:dyDescent="0.3">
      <c r="A437" s="3" t="s">
        <v>462</v>
      </c>
      <c r="B437" s="3" t="s">
        <v>12</v>
      </c>
      <c r="C437" s="5">
        <v>44714</v>
      </c>
      <c r="D437" s="5">
        <v>44725</v>
      </c>
      <c r="E437" s="3" t="s">
        <v>24</v>
      </c>
      <c r="F437" s="3" t="s">
        <v>33</v>
      </c>
      <c r="G437" s="3">
        <v>275</v>
      </c>
      <c r="H437" s="3">
        <v>23.96</v>
      </c>
      <c r="I437" s="3">
        <v>20.440000000000001</v>
      </c>
      <c r="J437" s="3"/>
      <c r="K437" s="3" t="s">
        <v>15</v>
      </c>
      <c r="L437" s="3">
        <f t="shared" si="24"/>
        <v>11</v>
      </c>
      <c r="M437" s="4">
        <f t="shared" si="25"/>
        <v>3.5199999999999996</v>
      </c>
      <c r="N437" s="6">
        <f t="shared" si="26"/>
        <v>0.14691151919866441</v>
      </c>
      <c r="O437" s="4">
        <f t="shared" si="27"/>
        <v>967.99999999999989</v>
      </c>
    </row>
    <row r="438" spans="1:15" x14ac:dyDescent="0.3">
      <c r="A438" s="3" t="s">
        <v>463</v>
      </c>
      <c r="B438" s="3" t="s">
        <v>12</v>
      </c>
      <c r="C438" s="5">
        <v>45120</v>
      </c>
      <c r="D438" s="5">
        <v>45125</v>
      </c>
      <c r="E438" s="3" t="s">
        <v>24</v>
      </c>
      <c r="F438" s="3" t="s">
        <v>18</v>
      </c>
      <c r="G438" s="3">
        <v>1350</v>
      </c>
      <c r="H438" s="3">
        <v>51.57</v>
      </c>
      <c r="I438" s="3">
        <v>48.07</v>
      </c>
      <c r="J438" s="3"/>
      <c r="K438" s="3" t="s">
        <v>15</v>
      </c>
      <c r="L438" s="3">
        <f t="shared" si="24"/>
        <v>5</v>
      </c>
      <c r="M438" s="4">
        <f t="shared" si="25"/>
        <v>3.5</v>
      </c>
      <c r="N438" s="6">
        <f t="shared" si="26"/>
        <v>6.7868916036455298E-2</v>
      </c>
      <c r="O438" s="4">
        <f t="shared" si="27"/>
        <v>4725</v>
      </c>
    </row>
    <row r="439" spans="1:15" x14ac:dyDescent="0.3">
      <c r="A439" s="3" t="s">
        <v>464</v>
      </c>
      <c r="B439" s="3" t="s">
        <v>12</v>
      </c>
      <c r="C439" s="5">
        <v>44598</v>
      </c>
      <c r="D439" s="3"/>
      <c r="E439" s="3" t="s">
        <v>21</v>
      </c>
      <c r="F439" s="3" t="s">
        <v>18</v>
      </c>
      <c r="G439" s="3">
        <v>847</v>
      </c>
      <c r="H439" s="3">
        <v>17.77</v>
      </c>
      <c r="I439" s="3">
        <v>17.39</v>
      </c>
      <c r="J439" s="3"/>
      <c r="K439" s="3" t="s">
        <v>15</v>
      </c>
      <c r="L439" s="3" t="str">
        <f t="shared" si="24"/>
        <v/>
      </c>
      <c r="M439" s="4">
        <f t="shared" si="25"/>
        <v>0.37999999999999901</v>
      </c>
      <c r="N439" s="6">
        <f t="shared" si="26"/>
        <v>2.138435565559927E-2</v>
      </c>
      <c r="O439" s="4">
        <f t="shared" si="27"/>
        <v>321.85999999999916</v>
      </c>
    </row>
    <row r="440" spans="1:15" x14ac:dyDescent="0.3">
      <c r="A440" s="3" t="s">
        <v>465</v>
      </c>
      <c r="B440" s="3" t="s">
        <v>20</v>
      </c>
      <c r="C440" s="5">
        <v>44940</v>
      </c>
      <c r="D440" s="5">
        <v>44953</v>
      </c>
      <c r="E440" s="3" t="s">
        <v>21</v>
      </c>
      <c r="F440" s="3" t="s">
        <v>18</v>
      </c>
      <c r="G440" s="3">
        <v>1682</v>
      </c>
      <c r="H440" s="3">
        <v>105.7</v>
      </c>
      <c r="I440" s="3">
        <v>101.3</v>
      </c>
      <c r="J440" s="3">
        <v>94</v>
      </c>
      <c r="K440" s="3" t="s">
        <v>15</v>
      </c>
      <c r="L440" s="3">
        <f t="shared" si="24"/>
        <v>13</v>
      </c>
      <c r="M440" s="4">
        <f t="shared" si="25"/>
        <v>4.4000000000000057</v>
      </c>
      <c r="N440" s="6">
        <f t="shared" si="26"/>
        <v>4.1627246925260222E-2</v>
      </c>
      <c r="O440" s="4">
        <f t="shared" si="27"/>
        <v>7400.8000000000093</v>
      </c>
    </row>
    <row r="441" spans="1:15" x14ac:dyDescent="0.3">
      <c r="A441" s="3" t="s">
        <v>466</v>
      </c>
      <c r="B441" s="3" t="s">
        <v>29</v>
      </c>
      <c r="C441" s="5">
        <v>45158</v>
      </c>
      <c r="D441" s="5">
        <v>45161</v>
      </c>
      <c r="E441" s="3" t="s">
        <v>39</v>
      </c>
      <c r="F441" s="3" t="s">
        <v>18</v>
      </c>
      <c r="G441" s="3">
        <v>333</v>
      </c>
      <c r="H441" s="3">
        <v>60.44</v>
      </c>
      <c r="I441" s="3">
        <v>58.54</v>
      </c>
      <c r="J441" s="3">
        <v>8</v>
      </c>
      <c r="K441" s="3" t="s">
        <v>15</v>
      </c>
      <c r="L441" s="3">
        <f t="shared" si="24"/>
        <v>3</v>
      </c>
      <c r="M441" s="4">
        <f t="shared" si="25"/>
        <v>1.8999999999999986</v>
      </c>
      <c r="N441" s="6">
        <f t="shared" si="26"/>
        <v>3.1436135009927181E-2</v>
      </c>
      <c r="O441" s="4">
        <f t="shared" si="27"/>
        <v>632.69999999999948</v>
      </c>
    </row>
    <row r="442" spans="1:15" x14ac:dyDescent="0.3">
      <c r="A442" s="3" t="s">
        <v>467</v>
      </c>
      <c r="B442" s="3" t="s">
        <v>12</v>
      </c>
      <c r="C442" s="5">
        <v>45127</v>
      </c>
      <c r="D442" s="5">
        <v>45140</v>
      </c>
      <c r="E442" s="3" t="s">
        <v>39</v>
      </c>
      <c r="F442" s="3" t="s">
        <v>14</v>
      </c>
      <c r="G442" s="3">
        <v>928</v>
      </c>
      <c r="H442" s="3">
        <v>69.31</v>
      </c>
      <c r="I442" s="3">
        <v>67.260000000000005</v>
      </c>
      <c r="J442" s="3">
        <v>20</v>
      </c>
      <c r="K442" s="3" t="s">
        <v>15</v>
      </c>
      <c r="L442" s="3">
        <f t="shared" si="24"/>
        <v>13</v>
      </c>
      <c r="M442" s="4">
        <f t="shared" si="25"/>
        <v>2.0499999999999972</v>
      </c>
      <c r="N442" s="6">
        <f t="shared" si="26"/>
        <v>2.9577261578415771E-2</v>
      </c>
      <c r="O442" s="4">
        <f t="shared" si="27"/>
        <v>1902.3999999999974</v>
      </c>
    </row>
    <row r="443" spans="1:15" x14ac:dyDescent="0.3">
      <c r="A443" s="3" t="s">
        <v>468</v>
      </c>
      <c r="B443" s="3" t="s">
        <v>29</v>
      </c>
      <c r="C443" s="5">
        <v>44713</v>
      </c>
      <c r="D443" s="5">
        <v>44724</v>
      </c>
      <c r="E443" s="3" t="s">
        <v>21</v>
      </c>
      <c r="F443" s="3" t="s">
        <v>33</v>
      </c>
      <c r="G443" s="3">
        <v>1009</v>
      </c>
      <c r="H443" s="3">
        <v>16.440000000000001</v>
      </c>
      <c r="I443" s="3">
        <v>16.18</v>
      </c>
      <c r="J443" s="3"/>
      <c r="K443" s="3" t="s">
        <v>15</v>
      </c>
      <c r="L443" s="3">
        <f t="shared" si="24"/>
        <v>11</v>
      </c>
      <c r="M443" s="4">
        <f t="shared" si="25"/>
        <v>0.26000000000000156</v>
      </c>
      <c r="N443" s="6">
        <f t="shared" si="26"/>
        <v>1.5815085158150947E-2</v>
      </c>
      <c r="O443" s="4">
        <f t="shared" si="27"/>
        <v>262.34000000000157</v>
      </c>
    </row>
    <row r="444" spans="1:15" x14ac:dyDescent="0.3">
      <c r="A444" s="3" t="s">
        <v>469</v>
      </c>
      <c r="B444" s="3" t="s">
        <v>29</v>
      </c>
      <c r="C444" s="5">
        <v>45002</v>
      </c>
      <c r="D444" s="5">
        <v>45019</v>
      </c>
      <c r="E444" s="3" t="s">
        <v>39</v>
      </c>
      <c r="F444" s="3" t="s">
        <v>35</v>
      </c>
      <c r="G444" s="3">
        <v>1554</v>
      </c>
      <c r="H444" s="3">
        <v>82.92</v>
      </c>
      <c r="I444" s="3">
        <v>74.819999999999993</v>
      </c>
      <c r="J444" s="3">
        <v>44</v>
      </c>
      <c r="K444" s="3" t="s">
        <v>15</v>
      </c>
      <c r="L444" s="3">
        <f t="shared" si="24"/>
        <v>17</v>
      </c>
      <c r="M444" s="4">
        <f t="shared" si="25"/>
        <v>8.1000000000000085</v>
      </c>
      <c r="N444" s="6">
        <f t="shared" si="26"/>
        <v>9.7684515195369137E-2</v>
      </c>
      <c r="O444" s="4">
        <f t="shared" si="27"/>
        <v>12587.400000000012</v>
      </c>
    </row>
    <row r="445" spans="1:15" x14ac:dyDescent="0.3">
      <c r="A445" s="3" t="s">
        <v>470</v>
      </c>
      <c r="B445" s="3" t="s">
        <v>20</v>
      </c>
      <c r="C445" s="5">
        <v>44692</v>
      </c>
      <c r="D445" s="5">
        <v>44706</v>
      </c>
      <c r="E445" s="3" t="s">
        <v>24</v>
      </c>
      <c r="F445" s="3" t="s">
        <v>33</v>
      </c>
      <c r="G445" s="3">
        <v>502</v>
      </c>
      <c r="H445" s="3">
        <v>29.47</v>
      </c>
      <c r="I445" s="3">
        <v>28.94</v>
      </c>
      <c r="J445" s="3">
        <v>27</v>
      </c>
      <c r="K445" s="3" t="s">
        <v>15</v>
      </c>
      <c r="L445" s="3">
        <f t="shared" si="24"/>
        <v>14</v>
      </c>
      <c r="M445" s="4">
        <f t="shared" si="25"/>
        <v>0.52999999999999758</v>
      </c>
      <c r="N445" s="6">
        <f t="shared" si="26"/>
        <v>1.7984390906006027E-2</v>
      </c>
      <c r="O445" s="4">
        <f t="shared" si="27"/>
        <v>266.05999999999881</v>
      </c>
    </row>
    <row r="446" spans="1:15" x14ac:dyDescent="0.3">
      <c r="A446" s="3" t="s">
        <v>471</v>
      </c>
      <c r="B446" s="3" t="s">
        <v>17</v>
      </c>
      <c r="C446" s="5">
        <v>44604</v>
      </c>
      <c r="D446" s="5">
        <v>44605</v>
      </c>
      <c r="E446" s="3" t="s">
        <v>21</v>
      </c>
      <c r="F446" s="3" t="s">
        <v>18</v>
      </c>
      <c r="G446" s="3">
        <v>1069</v>
      </c>
      <c r="H446" s="3">
        <v>91.28</v>
      </c>
      <c r="I446" s="3">
        <v>82.64</v>
      </c>
      <c r="J446" s="3"/>
      <c r="K446" s="3" t="s">
        <v>15</v>
      </c>
      <c r="L446" s="3">
        <f t="shared" si="24"/>
        <v>1</v>
      </c>
      <c r="M446" s="4">
        <f t="shared" si="25"/>
        <v>8.64</v>
      </c>
      <c r="N446" s="6">
        <f t="shared" si="26"/>
        <v>9.4653812445223487E-2</v>
      </c>
      <c r="O446" s="4">
        <f t="shared" si="27"/>
        <v>9236.16</v>
      </c>
    </row>
    <row r="447" spans="1:15" x14ac:dyDescent="0.3">
      <c r="A447" s="3" t="s">
        <v>472</v>
      </c>
      <c r="B447" s="3" t="s">
        <v>12</v>
      </c>
      <c r="C447" s="5">
        <v>44877</v>
      </c>
      <c r="D447" s="5">
        <v>44883</v>
      </c>
      <c r="E447" s="3" t="s">
        <v>21</v>
      </c>
      <c r="F447" s="3" t="s">
        <v>35</v>
      </c>
      <c r="G447" s="3">
        <v>1902</v>
      </c>
      <c r="H447" s="3">
        <v>29.89</v>
      </c>
      <c r="I447" s="3">
        <v>25.83</v>
      </c>
      <c r="J447" s="3">
        <v>41</v>
      </c>
      <c r="K447" s="3" t="s">
        <v>15</v>
      </c>
      <c r="L447" s="3">
        <f t="shared" si="24"/>
        <v>6</v>
      </c>
      <c r="M447" s="4">
        <f t="shared" si="25"/>
        <v>4.0600000000000023</v>
      </c>
      <c r="N447" s="6">
        <f t="shared" si="26"/>
        <v>0.13583138173302114</v>
      </c>
      <c r="O447" s="4">
        <f t="shared" si="27"/>
        <v>7722.1200000000044</v>
      </c>
    </row>
    <row r="448" spans="1:15" x14ac:dyDescent="0.3">
      <c r="A448" s="3" t="s">
        <v>473</v>
      </c>
      <c r="B448" s="3" t="s">
        <v>20</v>
      </c>
      <c r="C448" s="5">
        <v>44935</v>
      </c>
      <c r="D448" s="3"/>
      <c r="E448" s="3" t="s">
        <v>26</v>
      </c>
      <c r="F448" s="3" t="s">
        <v>35</v>
      </c>
      <c r="G448" s="3">
        <v>865</v>
      </c>
      <c r="H448" s="3">
        <v>28.79</v>
      </c>
      <c r="I448" s="3">
        <v>25.69</v>
      </c>
      <c r="J448" s="3">
        <v>47</v>
      </c>
      <c r="K448" s="3" t="s">
        <v>15</v>
      </c>
      <c r="L448" s="3" t="str">
        <f t="shared" si="24"/>
        <v/>
      </c>
      <c r="M448" s="4">
        <f t="shared" si="25"/>
        <v>3.0999999999999979</v>
      </c>
      <c r="N448" s="6">
        <f t="shared" si="26"/>
        <v>0.10767627648489052</v>
      </c>
      <c r="O448" s="4">
        <f t="shared" si="27"/>
        <v>2681.4999999999982</v>
      </c>
    </row>
    <row r="449" spans="1:15" x14ac:dyDescent="0.3">
      <c r="A449" s="3" t="s">
        <v>474</v>
      </c>
      <c r="B449" s="3" t="s">
        <v>17</v>
      </c>
      <c r="C449" s="5">
        <v>44602</v>
      </c>
      <c r="D449" s="5">
        <v>44618</v>
      </c>
      <c r="E449" s="3" t="s">
        <v>24</v>
      </c>
      <c r="F449" s="3" t="s">
        <v>33</v>
      </c>
      <c r="G449" s="3">
        <v>708</v>
      </c>
      <c r="H449" s="3">
        <v>13.36</v>
      </c>
      <c r="I449" s="3">
        <v>11.61</v>
      </c>
      <c r="J449" s="3"/>
      <c r="K449" s="3" t="s">
        <v>27</v>
      </c>
      <c r="L449" s="3">
        <f t="shared" si="24"/>
        <v>16</v>
      </c>
      <c r="M449" s="4">
        <f t="shared" si="25"/>
        <v>1.75</v>
      </c>
      <c r="N449" s="6">
        <f t="shared" si="26"/>
        <v>0.1309880239520958</v>
      </c>
      <c r="O449" s="4">
        <f t="shared" si="27"/>
        <v>1239</v>
      </c>
    </row>
    <row r="450" spans="1:15" x14ac:dyDescent="0.3">
      <c r="A450" s="3" t="s">
        <v>475</v>
      </c>
      <c r="B450" s="3" t="s">
        <v>17</v>
      </c>
      <c r="C450" s="5">
        <v>44928</v>
      </c>
      <c r="D450" s="5">
        <v>44933</v>
      </c>
      <c r="E450" s="3" t="s">
        <v>24</v>
      </c>
      <c r="F450" s="3" t="s">
        <v>18</v>
      </c>
      <c r="G450" s="3">
        <v>1589</v>
      </c>
      <c r="H450" s="3">
        <v>55.64</v>
      </c>
      <c r="I450" s="3">
        <v>48.52</v>
      </c>
      <c r="J450" s="3"/>
      <c r="K450" s="3" t="s">
        <v>15</v>
      </c>
      <c r="L450" s="3">
        <f t="shared" si="24"/>
        <v>5</v>
      </c>
      <c r="M450" s="4">
        <f t="shared" si="25"/>
        <v>7.1199999999999974</v>
      </c>
      <c r="N450" s="6">
        <f t="shared" si="26"/>
        <v>0.12796549245147371</v>
      </c>
      <c r="O450" s="4">
        <f t="shared" si="27"/>
        <v>11313.679999999997</v>
      </c>
    </row>
    <row r="451" spans="1:15" x14ac:dyDescent="0.3">
      <c r="A451" s="3" t="s">
        <v>476</v>
      </c>
      <c r="B451" s="3" t="s">
        <v>12</v>
      </c>
      <c r="C451" s="5">
        <v>44777</v>
      </c>
      <c r="D451" s="5">
        <v>44787</v>
      </c>
      <c r="E451" s="3" t="s">
        <v>13</v>
      </c>
      <c r="F451" s="3" t="s">
        <v>18</v>
      </c>
      <c r="G451" s="3">
        <v>596</v>
      </c>
      <c r="H451" s="3">
        <v>62.96</v>
      </c>
      <c r="I451" s="3">
        <v>61.88</v>
      </c>
      <c r="J451" s="3">
        <v>9</v>
      </c>
      <c r="K451" s="3" t="s">
        <v>15</v>
      </c>
      <c r="L451" s="3">
        <f t="shared" ref="L451:L514" si="28">IF(OR(C451="",D451=""),"",D451-C451)</f>
        <v>10</v>
      </c>
      <c r="M451" s="4">
        <f t="shared" ref="M451:M514" si="29">H451-I451</f>
        <v>1.0799999999999983</v>
      </c>
      <c r="N451" s="6">
        <f t="shared" ref="N451:N514" si="30">IFERROR((H451-I451)/H451,0)</f>
        <v>1.7153748411689936E-2</v>
      </c>
      <c r="O451" s="4">
        <f t="shared" ref="O451:O514" si="31">(H451-I451)*G451</f>
        <v>643.67999999999893</v>
      </c>
    </row>
    <row r="452" spans="1:15" x14ac:dyDescent="0.3">
      <c r="A452" s="3" t="s">
        <v>477</v>
      </c>
      <c r="B452" s="3" t="s">
        <v>29</v>
      </c>
      <c r="C452" s="5">
        <v>45260</v>
      </c>
      <c r="D452" s="5">
        <v>45264</v>
      </c>
      <c r="E452" s="3" t="s">
        <v>13</v>
      </c>
      <c r="F452" s="3" t="s">
        <v>18</v>
      </c>
      <c r="G452" s="3">
        <v>1265</v>
      </c>
      <c r="H452" s="3">
        <v>17.66</v>
      </c>
      <c r="I452" s="3">
        <v>16.97</v>
      </c>
      <c r="J452" s="3">
        <v>34</v>
      </c>
      <c r="K452" s="3" t="s">
        <v>15</v>
      </c>
      <c r="L452" s="3">
        <f t="shared" si="28"/>
        <v>4</v>
      </c>
      <c r="M452" s="4">
        <f t="shared" si="29"/>
        <v>0.69000000000000128</v>
      </c>
      <c r="N452" s="6">
        <f t="shared" si="30"/>
        <v>3.907134767836927E-2</v>
      </c>
      <c r="O452" s="4">
        <f t="shared" si="31"/>
        <v>872.85000000000161</v>
      </c>
    </row>
    <row r="453" spans="1:15" x14ac:dyDescent="0.3">
      <c r="A453" s="3" t="s">
        <v>478</v>
      </c>
      <c r="B453" s="3" t="s">
        <v>23</v>
      </c>
      <c r="C453" s="5">
        <v>44817</v>
      </c>
      <c r="D453" s="5">
        <v>44835</v>
      </c>
      <c r="E453" s="3" t="s">
        <v>26</v>
      </c>
      <c r="F453" s="3" t="s">
        <v>18</v>
      </c>
      <c r="G453" s="3">
        <v>1122</v>
      </c>
      <c r="H453" s="3">
        <v>82.99</v>
      </c>
      <c r="I453" s="3">
        <v>81.7</v>
      </c>
      <c r="J453" s="3">
        <v>118</v>
      </c>
      <c r="K453" s="3" t="s">
        <v>27</v>
      </c>
      <c r="L453" s="3">
        <f t="shared" si="28"/>
        <v>18</v>
      </c>
      <c r="M453" s="4">
        <f t="shared" si="29"/>
        <v>1.289999999999992</v>
      </c>
      <c r="N453" s="6">
        <f t="shared" si="30"/>
        <v>1.5544041450777106E-2</v>
      </c>
      <c r="O453" s="4">
        <f t="shared" si="31"/>
        <v>1447.379999999991</v>
      </c>
    </row>
    <row r="454" spans="1:15" x14ac:dyDescent="0.3">
      <c r="A454" s="3" t="s">
        <v>479</v>
      </c>
      <c r="B454" s="3" t="s">
        <v>29</v>
      </c>
      <c r="C454" s="5">
        <v>45244</v>
      </c>
      <c r="D454" s="5">
        <v>45261</v>
      </c>
      <c r="E454" s="3" t="s">
        <v>13</v>
      </c>
      <c r="F454" s="3" t="s">
        <v>18</v>
      </c>
      <c r="G454" s="3">
        <v>1585</v>
      </c>
      <c r="H454" s="3">
        <v>56.38</v>
      </c>
      <c r="I454" s="3">
        <v>53.05</v>
      </c>
      <c r="J454" s="3"/>
      <c r="K454" s="3" t="s">
        <v>15</v>
      </c>
      <c r="L454" s="3">
        <f t="shared" si="28"/>
        <v>17</v>
      </c>
      <c r="M454" s="4">
        <f t="shared" si="29"/>
        <v>3.3300000000000054</v>
      </c>
      <c r="N454" s="6">
        <f t="shared" si="30"/>
        <v>5.9063497694217898E-2</v>
      </c>
      <c r="O454" s="4">
        <f t="shared" si="31"/>
        <v>5278.0500000000084</v>
      </c>
    </row>
    <row r="455" spans="1:15" x14ac:dyDescent="0.3">
      <c r="A455" s="3" t="s">
        <v>480</v>
      </c>
      <c r="B455" s="3" t="s">
        <v>29</v>
      </c>
      <c r="C455" s="5">
        <v>44667</v>
      </c>
      <c r="D455" s="5">
        <v>44678</v>
      </c>
      <c r="E455" s="3" t="s">
        <v>39</v>
      </c>
      <c r="F455" s="3" t="s">
        <v>18</v>
      </c>
      <c r="G455" s="3">
        <v>66</v>
      </c>
      <c r="H455" s="3">
        <v>58.05</v>
      </c>
      <c r="I455" s="3">
        <v>50.76</v>
      </c>
      <c r="J455" s="3"/>
      <c r="K455" s="3" t="s">
        <v>15</v>
      </c>
      <c r="L455" s="3">
        <f t="shared" si="28"/>
        <v>11</v>
      </c>
      <c r="M455" s="4">
        <f t="shared" si="29"/>
        <v>7.2899999999999991</v>
      </c>
      <c r="N455" s="6">
        <f t="shared" si="30"/>
        <v>0.12558139534883719</v>
      </c>
      <c r="O455" s="4">
        <f t="shared" si="31"/>
        <v>481.13999999999993</v>
      </c>
    </row>
    <row r="456" spans="1:15" x14ac:dyDescent="0.3">
      <c r="A456" s="3" t="s">
        <v>481</v>
      </c>
      <c r="B456" s="3" t="s">
        <v>23</v>
      </c>
      <c r="C456" s="5">
        <v>44924</v>
      </c>
      <c r="D456" s="5">
        <v>44944</v>
      </c>
      <c r="E456" s="3" t="s">
        <v>21</v>
      </c>
      <c r="F456" s="3" t="s">
        <v>18</v>
      </c>
      <c r="G456" s="3">
        <v>1245</v>
      </c>
      <c r="H456" s="3">
        <v>52.4</v>
      </c>
      <c r="I456" s="3">
        <v>51.65</v>
      </c>
      <c r="J456" s="3">
        <v>118</v>
      </c>
      <c r="K456" s="3" t="s">
        <v>27</v>
      </c>
      <c r="L456" s="3">
        <f t="shared" si="28"/>
        <v>20</v>
      </c>
      <c r="M456" s="4">
        <f t="shared" si="29"/>
        <v>0.75</v>
      </c>
      <c r="N456" s="6">
        <f t="shared" si="30"/>
        <v>1.4312977099236641E-2</v>
      </c>
      <c r="O456" s="4">
        <f t="shared" si="31"/>
        <v>933.75</v>
      </c>
    </row>
    <row r="457" spans="1:15" x14ac:dyDescent="0.3">
      <c r="A457" s="3" t="s">
        <v>482</v>
      </c>
      <c r="B457" s="3" t="s">
        <v>17</v>
      </c>
      <c r="C457" s="5">
        <v>45135</v>
      </c>
      <c r="D457" s="5">
        <v>45148</v>
      </c>
      <c r="E457" s="3" t="s">
        <v>39</v>
      </c>
      <c r="F457" s="3" t="s">
        <v>18</v>
      </c>
      <c r="G457" s="3">
        <v>1293</v>
      </c>
      <c r="H457" s="3">
        <v>50.21</v>
      </c>
      <c r="I457" s="3">
        <v>47.55</v>
      </c>
      <c r="J457" s="3"/>
      <c r="K457" s="3" t="s">
        <v>27</v>
      </c>
      <c r="L457" s="3">
        <f t="shared" si="28"/>
        <v>13</v>
      </c>
      <c r="M457" s="4">
        <f t="shared" si="29"/>
        <v>2.6600000000000037</v>
      </c>
      <c r="N457" s="6">
        <f t="shared" si="30"/>
        <v>5.297749452300346E-2</v>
      </c>
      <c r="O457" s="4">
        <f t="shared" si="31"/>
        <v>3439.3800000000047</v>
      </c>
    </row>
    <row r="458" spans="1:15" x14ac:dyDescent="0.3">
      <c r="A458" s="3" t="s">
        <v>483</v>
      </c>
      <c r="B458" s="3" t="s">
        <v>23</v>
      </c>
      <c r="C458" s="5">
        <v>44978</v>
      </c>
      <c r="D458" s="5">
        <v>44984</v>
      </c>
      <c r="E458" s="3" t="s">
        <v>24</v>
      </c>
      <c r="F458" s="3" t="s">
        <v>18</v>
      </c>
      <c r="G458" s="3">
        <v>207</v>
      </c>
      <c r="H458" s="3">
        <v>64.290000000000006</v>
      </c>
      <c r="I458" s="3">
        <v>63.01</v>
      </c>
      <c r="J458" s="3">
        <v>25</v>
      </c>
      <c r="K458" s="3" t="s">
        <v>15</v>
      </c>
      <c r="L458" s="3">
        <f t="shared" si="28"/>
        <v>6</v>
      </c>
      <c r="M458" s="4">
        <f t="shared" si="29"/>
        <v>1.2800000000000082</v>
      </c>
      <c r="N458" s="6">
        <f t="shared" si="30"/>
        <v>1.9909783792191757E-2</v>
      </c>
      <c r="O458" s="4">
        <f t="shared" si="31"/>
        <v>264.96000000000168</v>
      </c>
    </row>
    <row r="459" spans="1:15" x14ac:dyDescent="0.3">
      <c r="A459" s="3" t="s">
        <v>484</v>
      </c>
      <c r="B459" s="3" t="s">
        <v>23</v>
      </c>
      <c r="C459" s="5">
        <v>45197</v>
      </c>
      <c r="D459" s="5">
        <v>45217</v>
      </c>
      <c r="E459" s="3" t="s">
        <v>13</v>
      </c>
      <c r="F459" s="3" t="s">
        <v>18</v>
      </c>
      <c r="G459" s="3">
        <v>526</v>
      </c>
      <c r="H459" s="3">
        <v>26.37</v>
      </c>
      <c r="I459" s="3">
        <v>25.32</v>
      </c>
      <c r="J459" s="3">
        <v>47</v>
      </c>
      <c r="K459" s="3" t="s">
        <v>15</v>
      </c>
      <c r="L459" s="3">
        <f t="shared" si="28"/>
        <v>20</v>
      </c>
      <c r="M459" s="4">
        <f t="shared" si="29"/>
        <v>1.0500000000000007</v>
      </c>
      <c r="N459" s="6">
        <f t="shared" si="30"/>
        <v>3.9817974971558617E-2</v>
      </c>
      <c r="O459" s="4">
        <f t="shared" si="31"/>
        <v>552.30000000000041</v>
      </c>
    </row>
    <row r="460" spans="1:15" x14ac:dyDescent="0.3">
      <c r="A460" s="3" t="s">
        <v>485</v>
      </c>
      <c r="B460" s="3" t="s">
        <v>20</v>
      </c>
      <c r="C460" s="5">
        <v>44720</v>
      </c>
      <c r="D460" s="5">
        <v>44726</v>
      </c>
      <c r="E460" s="3" t="s">
        <v>39</v>
      </c>
      <c r="F460" s="3" t="s">
        <v>18</v>
      </c>
      <c r="G460" s="3">
        <v>1119</v>
      </c>
      <c r="H460" s="3">
        <v>27.03</v>
      </c>
      <c r="I460" s="3">
        <v>23.82</v>
      </c>
      <c r="J460" s="3"/>
      <c r="K460" s="3" t="s">
        <v>15</v>
      </c>
      <c r="L460" s="3">
        <f t="shared" si="28"/>
        <v>6</v>
      </c>
      <c r="M460" s="4">
        <f t="shared" si="29"/>
        <v>3.2100000000000009</v>
      </c>
      <c r="N460" s="6">
        <f t="shared" si="30"/>
        <v>0.11875693673695896</v>
      </c>
      <c r="O460" s="4">
        <f t="shared" si="31"/>
        <v>3591.9900000000011</v>
      </c>
    </row>
    <row r="461" spans="1:15" x14ac:dyDescent="0.3">
      <c r="A461" s="3" t="s">
        <v>486</v>
      </c>
      <c r="B461" s="3" t="s">
        <v>20</v>
      </c>
      <c r="C461" s="5">
        <v>44804</v>
      </c>
      <c r="D461" s="5">
        <v>44806</v>
      </c>
      <c r="E461" s="3" t="s">
        <v>24</v>
      </c>
      <c r="F461" s="3" t="s">
        <v>18</v>
      </c>
      <c r="G461" s="3">
        <v>1446</v>
      </c>
      <c r="H461" s="3">
        <v>90.63</v>
      </c>
      <c r="I461" s="3">
        <v>84.51</v>
      </c>
      <c r="J461" s="3">
        <v>77</v>
      </c>
      <c r="K461" s="3" t="s">
        <v>15</v>
      </c>
      <c r="L461" s="3">
        <f t="shared" si="28"/>
        <v>2</v>
      </c>
      <c r="M461" s="4">
        <f t="shared" si="29"/>
        <v>6.1199999999999903</v>
      </c>
      <c r="N461" s="6">
        <f t="shared" si="30"/>
        <v>6.752730883813296E-2</v>
      </c>
      <c r="O461" s="4">
        <f t="shared" si="31"/>
        <v>8849.5199999999859</v>
      </c>
    </row>
    <row r="462" spans="1:15" x14ac:dyDescent="0.3">
      <c r="A462" s="3" t="s">
        <v>487</v>
      </c>
      <c r="B462" s="3" t="s">
        <v>20</v>
      </c>
      <c r="C462" s="5">
        <v>44728</v>
      </c>
      <c r="D462" s="5">
        <v>44736</v>
      </c>
      <c r="E462" s="3" t="s">
        <v>13</v>
      </c>
      <c r="F462" s="3" t="s">
        <v>18</v>
      </c>
      <c r="G462" s="3">
        <v>567</v>
      </c>
      <c r="H462" s="3">
        <v>97.53</v>
      </c>
      <c r="I462" s="3">
        <v>85.29</v>
      </c>
      <c r="J462" s="3">
        <v>21</v>
      </c>
      <c r="K462" s="3" t="s">
        <v>15</v>
      </c>
      <c r="L462" s="3">
        <f t="shared" si="28"/>
        <v>8</v>
      </c>
      <c r="M462" s="4">
        <f t="shared" si="29"/>
        <v>12.239999999999995</v>
      </c>
      <c r="N462" s="6">
        <f t="shared" si="30"/>
        <v>0.12549984620116883</v>
      </c>
      <c r="O462" s="4">
        <f t="shared" si="31"/>
        <v>6940.0799999999972</v>
      </c>
    </row>
    <row r="463" spans="1:15" x14ac:dyDescent="0.3">
      <c r="A463" s="3" t="s">
        <v>488</v>
      </c>
      <c r="B463" s="3" t="s">
        <v>17</v>
      </c>
      <c r="C463" s="5">
        <v>44743</v>
      </c>
      <c r="D463" s="3"/>
      <c r="E463" s="3" t="s">
        <v>21</v>
      </c>
      <c r="F463" s="3" t="s">
        <v>18</v>
      </c>
      <c r="G463" s="3">
        <v>148</v>
      </c>
      <c r="H463" s="3">
        <v>44.91</v>
      </c>
      <c r="I463" s="3">
        <v>40.1</v>
      </c>
      <c r="J463" s="3"/>
      <c r="K463" s="3" t="s">
        <v>27</v>
      </c>
      <c r="L463" s="3" t="str">
        <f t="shared" si="28"/>
        <v/>
      </c>
      <c r="M463" s="4">
        <f t="shared" si="29"/>
        <v>4.8099999999999952</v>
      </c>
      <c r="N463" s="6">
        <f t="shared" si="30"/>
        <v>0.10710309507904689</v>
      </c>
      <c r="O463" s="4">
        <f t="shared" si="31"/>
        <v>711.87999999999931</v>
      </c>
    </row>
    <row r="464" spans="1:15" x14ac:dyDescent="0.3">
      <c r="A464" s="3" t="s">
        <v>489</v>
      </c>
      <c r="B464" s="3" t="s">
        <v>23</v>
      </c>
      <c r="C464" s="5">
        <v>44984</v>
      </c>
      <c r="D464" s="5">
        <v>44999</v>
      </c>
      <c r="E464" s="3" t="s">
        <v>21</v>
      </c>
      <c r="F464" s="3" t="s">
        <v>35</v>
      </c>
      <c r="G464" s="3">
        <v>1965</v>
      </c>
      <c r="H464" s="3">
        <v>36.6</v>
      </c>
      <c r="I464" s="3">
        <v>34.64</v>
      </c>
      <c r="J464" s="3">
        <v>195</v>
      </c>
      <c r="K464" s="3" t="s">
        <v>15</v>
      </c>
      <c r="L464" s="3">
        <f t="shared" si="28"/>
        <v>15</v>
      </c>
      <c r="M464" s="4">
        <f t="shared" si="29"/>
        <v>1.9600000000000009</v>
      </c>
      <c r="N464" s="6">
        <f t="shared" si="30"/>
        <v>5.3551912568306034E-2</v>
      </c>
      <c r="O464" s="4">
        <f t="shared" si="31"/>
        <v>3851.4000000000015</v>
      </c>
    </row>
    <row r="465" spans="1:15" x14ac:dyDescent="0.3">
      <c r="A465" s="3" t="s">
        <v>490</v>
      </c>
      <c r="B465" s="3" t="s">
        <v>12</v>
      </c>
      <c r="C465" s="5">
        <v>44587</v>
      </c>
      <c r="D465" s="5">
        <v>44595</v>
      </c>
      <c r="E465" s="3" t="s">
        <v>13</v>
      </c>
      <c r="F465" s="3" t="s">
        <v>35</v>
      </c>
      <c r="G465" s="3">
        <v>1818</v>
      </c>
      <c r="H465" s="3">
        <v>67.959999999999994</v>
      </c>
      <c r="I465" s="3">
        <v>58.98</v>
      </c>
      <c r="J465" s="3"/>
      <c r="K465" s="3" t="s">
        <v>15</v>
      </c>
      <c r="L465" s="3">
        <f t="shared" si="28"/>
        <v>8</v>
      </c>
      <c r="M465" s="4">
        <f t="shared" si="29"/>
        <v>8.9799999999999969</v>
      </c>
      <c r="N465" s="6">
        <f t="shared" si="30"/>
        <v>0.13213655091230131</v>
      </c>
      <c r="O465" s="4">
        <f t="shared" si="31"/>
        <v>16325.639999999994</v>
      </c>
    </row>
    <row r="466" spans="1:15" x14ac:dyDescent="0.3">
      <c r="A466" s="3" t="s">
        <v>491</v>
      </c>
      <c r="B466" s="3" t="s">
        <v>23</v>
      </c>
      <c r="C466" s="5">
        <v>44745</v>
      </c>
      <c r="D466" s="5">
        <v>44761</v>
      </c>
      <c r="E466" s="3" t="s">
        <v>21</v>
      </c>
      <c r="F466" s="3" t="s">
        <v>18</v>
      </c>
      <c r="G466" s="3">
        <v>1110</v>
      </c>
      <c r="H466" s="3">
        <v>48.19</v>
      </c>
      <c r="I466" s="3">
        <v>45.88</v>
      </c>
      <c r="J466" s="3">
        <v>112</v>
      </c>
      <c r="K466" s="3" t="s">
        <v>15</v>
      </c>
      <c r="L466" s="3">
        <f t="shared" si="28"/>
        <v>16</v>
      </c>
      <c r="M466" s="4">
        <f t="shared" si="29"/>
        <v>2.3099999999999952</v>
      </c>
      <c r="N466" s="6">
        <f t="shared" si="30"/>
        <v>4.7935256277235841E-2</v>
      </c>
      <c r="O466" s="4">
        <f t="shared" si="31"/>
        <v>2564.0999999999945</v>
      </c>
    </row>
    <row r="467" spans="1:15" x14ac:dyDescent="0.3">
      <c r="A467" s="3" t="s">
        <v>492</v>
      </c>
      <c r="B467" s="3" t="s">
        <v>17</v>
      </c>
      <c r="C467" s="5">
        <v>44902</v>
      </c>
      <c r="D467" s="3"/>
      <c r="E467" s="3" t="s">
        <v>26</v>
      </c>
      <c r="F467" s="3" t="s">
        <v>18</v>
      </c>
      <c r="G467" s="3">
        <v>329</v>
      </c>
      <c r="H467" s="3">
        <v>12.96</v>
      </c>
      <c r="I467" s="3">
        <v>12.74</v>
      </c>
      <c r="J467" s="3">
        <v>48</v>
      </c>
      <c r="K467" s="3" t="s">
        <v>15</v>
      </c>
      <c r="L467" s="3" t="str">
        <f t="shared" si="28"/>
        <v/>
      </c>
      <c r="M467" s="4">
        <f t="shared" si="29"/>
        <v>0.22000000000000064</v>
      </c>
      <c r="N467" s="6">
        <f t="shared" si="30"/>
        <v>1.6975308641975356E-2</v>
      </c>
      <c r="O467" s="4">
        <f t="shared" si="31"/>
        <v>72.380000000000209</v>
      </c>
    </row>
    <row r="468" spans="1:15" x14ac:dyDescent="0.3">
      <c r="A468" s="3" t="s">
        <v>493</v>
      </c>
      <c r="B468" s="3" t="s">
        <v>20</v>
      </c>
      <c r="C468" s="5">
        <v>44983</v>
      </c>
      <c r="D468" s="5">
        <v>45002</v>
      </c>
      <c r="E468" s="3" t="s">
        <v>13</v>
      </c>
      <c r="F468" s="3" t="s">
        <v>14</v>
      </c>
      <c r="G468" s="3">
        <v>1422</v>
      </c>
      <c r="H468" s="3">
        <v>25.62</v>
      </c>
      <c r="I468" s="3">
        <v>25.18</v>
      </c>
      <c r="J468" s="3">
        <v>65</v>
      </c>
      <c r="K468" s="3" t="s">
        <v>15</v>
      </c>
      <c r="L468" s="3">
        <f t="shared" si="28"/>
        <v>19</v>
      </c>
      <c r="M468" s="4">
        <f t="shared" si="29"/>
        <v>0.44000000000000128</v>
      </c>
      <c r="N468" s="6">
        <f t="shared" si="30"/>
        <v>1.717408274785329E-2</v>
      </c>
      <c r="O468" s="4">
        <f t="shared" si="31"/>
        <v>625.68000000000177</v>
      </c>
    </row>
    <row r="469" spans="1:15" x14ac:dyDescent="0.3">
      <c r="A469" s="3" t="s">
        <v>494</v>
      </c>
      <c r="B469" s="3" t="s">
        <v>17</v>
      </c>
      <c r="C469" s="5">
        <v>45247</v>
      </c>
      <c r="D469" s="3"/>
      <c r="E469" s="3" t="s">
        <v>26</v>
      </c>
      <c r="F469" s="3" t="s">
        <v>18</v>
      </c>
      <c r="G469" s="3">
        <v>546</v>
      </c>
      <c r="H469" s="3">
        <v>82.63</v>
      </c>
      <c r="I469" s="3">
        <v>74.77</v>
      </c>
      <c r="J469" s="3">
        <v>76</v>
      </c>
      <c r="K469" s="3" t="s">
        <v>27</v>
      </c>
      <c r="L469" s="3" t="str">
        <f t="shared" si="28"/>
        <v/>
      </c>
      <c r="M469" s="4">
        <f t="shared" si="29"/>
        <v>7.8599999999999994</v>
      </c>
      <c r="N469" s="6">
        <f t="shared" si="30"/>
        <v>9.5122836742103353E-2</v>
      </c>
      <c r="O469" s="4">
        <f t="shared" si="31"/>
        <v>4291.5599999999995</v>
      </c>
    </row>
    <row r="470" spans="1:15" x14ac:dyDescent="0.3">
      <c r="A470" s="3" t="s">
        <v>495</v>
      </c>
      <c r="B470" s="3" t="s">
        <v>20</v>
      </c>
      <c r="C470" s="5">
        <v>44816</v>
      </c>
      <c r="D470" s="5">
        <v>44826</v>
      </c>
      <c r="E470" s="3" t="s">
        <v>13</v>
      </c>
      <c r="F470" s="3" t="s">
        <v>33</v>
      </c>
      <c r="G470" s="3">
        <v>351</v>
      </c>
      <c r="H470" s="3">
        <v>72.08</v>
      </c>
      <c r="I470" s="3">
        <v>71.3</v>
      </c>
      <c r="J470" s="3">
        <v>20</v>
      </c>
      <c r="K470" s="3" t="s">
        <v>15</v>
      </c>
      <c r="L470" s="3">
        <f t="shared" si="28"/>
        <v>10</v>
      </c>
      <c r="M470" s="4">
        <f t="shared" si="29"/>
        <v>0.78000000000000114</v>
      </c>
      <c r="N470" s="6">
        <f t="shared" si="30"/>
        <v>1.0821309655937862E-2</v>
      </c>
      <c r="O470" s="4">
        <f t="shared" si="31"/>
        <v>273.78000000000043</v>
      </c>
    </row>
    <row r="471" spans="1:15" x14ac:dyDescent="0.3">
      <c r="A471" s="3" t="s">
        <v>496</v>
      </c>
      <c r="B471" s="3" t="s">
        <v>17</v>
      </c>
      <c r="C471" s="5">
        <v>44835</v>
      </c>
      <c r="D471" s="5">
        <v>44852</v>
      </c>
      <c r="E471" s="3" t="s">
        <v>26</v>
      </c>
      <c r="F471" s="3" t="s">
        <v>33</v>
      </c>
      <c r="G471" s="3">
        <v>230</v>
      </c>
      <c r="H471" s="3">
        <v>13</v>
      </c>
      <c r="I471" s="3">
        <v>12.81</v>
      </c>
      <c r="J471" s="3"/>
      <c r="K471" s="3" t="s">
        <v>27</v>
      </c>
      <c r="L471" s="3">
        <f t="shared" si="28"/>
        <v>17</v>
      </c>
      <c r="M471" s="4">
        <f t="shared" si="29"/>
        <v>0.1899999999999995</v>
      </c>
      <c r="N471" s="6">
        <f t="shared" si="30"/>
        <v>1.4615384615384577E-2</v>
      </c>
      <c r="O471" s="4">
        <f t="shared" si="31"/>
        <v>43.699999999999889</v>
      </c>
    </row>
    <row r="472" spans="1:15" x14ac:dyDescent="0.3">
      <c r="A472" s="3" t="s">
        <v>497</v>
      </c>
      <c r="B472" s="3" t="s">
        <v>12</v>
      </c>
      <c r="C472" s="5">
        <v>44725</v>
      </c>
      <c r="D472" s="5">
        <v>44731</v>
      </c>
      <c r="E472" s="3" t="s">
        <v>21</v>
      </c>
      <c r="F472" s="3" t="s">
        <v>18</v>
      </c>
      <c r="G472" s="3">
        <v>656</v>
      </c>
      <c r="H472" s="3">
        <v>30.73</v>
      </c>
      <c r="I472" s="3">
        <v>26.26</v>
      </c>
      <c r="J472" s="3">
        <v>17</v>
      </c>
      <c r="K472" s="3" t="s">
        <v>15</v>
      </c>
      <c r="L472" s="3">
        <f t="shared" si="28"/>
        <v>6</v>
      </c>
      <c r="M472" s="4">
        <f t="shared" si="29"/>
        <v>4.4699999999999989</v>
      </c>
      <c r="N472" s="6">
        <f t="shared" si="30"/>
        <v>0.14546046208916363</v>
      </c>
      <c r="O472" s="4">
        <f t="shared" si="31"/>
        <v>2932.3199999999993</v>
      </c>
    </row>
    <row r="473" spans="1:15" x14ac:dyDescent="0.3">
      <c r="A473" s="3" t="s">
        <v>498</v>
      </c>
      <c r="B473" s="3" t="s">
        <v>20</v>
      </c>
      <c r="C473" s="5">
        <v>45280</v>
      </c>
      <c r="D473" s="5">
        <v>45300</v>
      </c>
      <c r="E473" s="3" t="s">
        <v>21</v>
      </c>
      <c r="F473" s="3" t="s">
        <v>18</v>
      </c>
      <c r="G473" s="3">
        <v>1172</v>
      </c>
      <c r="H473" s="3">
        <v>34.340000000000003</v>
      </c>
      <c r="I473" s="3">
        <v>32.090000000000003</v>
      </c>
      <c r="J473" s="3">
        <v>69</v>
      </c>
      <c r="K473" s="3" t="s">
        <v>15</v>
      </c>
      <c r="L473" s="3">
        <f t="shared" si="28"/>
        <v>20</v>
      </c>
      <c r="M473" s="4">
        <f t="shared" si="29"/>
        <v>2.25</v>
      </c>
      <c r="N473" s="6">
        <f t="shared" si="30"/>
        <v>6.5521258008153754E-2</v>
      </c>
      <c r="O473" s="4">
        <f t="shared" si="31"/>
        <v>2637</v>
      </c>
    </row>
    <row r="474" spans="1:15" x14ac:dyDescent="0.3">
      <c r="A474" s="3" t="s">
        <v>499</v>
      </c>
      <c r="B474" s="3" t="s">
        <v>20</v>
      </c>
      <c r="C474" s="5">
        <v>44672</v>
      </c>
      <c r="D474" s="5">
        <v>44681</v>
      </c>
      <c r="E474" s="3" t="s">
        <v>39</v>
      </c>
      <c r="F474" s="3" t="s">
        <v>18</v>
      </c>
      <c r="G474" s="3">
        <v>749</v>
      </c>
      <c r="H474" s="3">
        <v>71.53</v>
      </c>
      <c r="I474" s="3">
        <v>70.02</v>
      </c>
      <c r="J474" s="3">
        <v>41</v>
      </c>
      <c r="K474" s="3" t="s">
        <v>15</v>
      </c>
      <c r="L474" s="3">
        <f t="shared" si="28"/>
        <v>9</v>
      </c>
      <c r="M474" s="4">
        <f t="shared" si="29"/>
        <v>1.5100000000000051</v>
      </c>
      <c r="N474" s="6">
        <f t="shared" si="30"/>
        <v>2.1110023766251994E-2</v>
      </c>
      <c r="O474" s="4">
        <f t="shared" si="31"/>
        <v>1130.9900000000039</v>
      </c>
    </row>
    <row r="475" spans="1:15" x14ac:dyDescent="0.3">
      <c r="A475" s="3" t="s">
        <v>500</v>
      </c>
      <c r="B475" s="3" t="s">
        <v>23</v>
      </c>
      <c r="C475" s="5">
        <v>44953</v>
      </c>
      <c r="D475" s="5">
        <v>44969</v>
      </c>
      <c r="E475" s="3" t="s">
        <v>24</v>
      </c>
      <c r="F475" s="3" t="s">
        <v>18</v>
      </c>
      <c r="G475" s="3">
        <v>1042</v>
      </c>
      <c r="H475" s="3">
        <v>12.48</v>
      </c>
      <c r="I475" s="3">
        <v>12.3</v>
      </c>
      <c r="J475" s="3">
        <v>88</v>
      </c>
      <c r="K475" s="3" t="s">
        <v>15</v>
      </c>
      <c r="L475" s="3">
        <f t="shared" si="28"/>
        <v>16</v>
      </c>
      <c r="M475" s="4">
        <f t="shared" si="29"/>
        <v>0.17999999999999972</v>
      </c>
      <c r="N475" s="6">
        <f t="shared" si="30"/>
        <v>1.44230769230769E-2</v>
      </c>
      <c r="O475" s="4">
        <f t="shared" si="31"/>
        <v>187.55999999999972</v>
      </c>
    </row>
    <row r="476" spans="1:15" x14ac:dyDescent="0.3">
      <c r="A476" s="3" t="s">
        <v>501</v>
      </c>
      <c r="B476" s="3" t="s">
        <v>17</v>
      </c>
      <c r="C476" s="5">
        <v>44601</v>
      </c>
      <c r="D476" s="5">
        <v>44619</v>
      </c>
      <c r="E476" s="3" t="s">
        <v>26</v>
      </c>
      <c r="F476" s="3" t="s">
        <v>18</v>
      </c>
      <c r="G476" s="3">
        <v>1189</v>
      </c>
      <c r="H476" s="3">
        <v>19.47</v>
      </c>
      <c r="I476" s="3">
        <v>17.149999999999999</v>
      </c>
      <c r="J476" s="3"/>
      <c r="K476" s="3" t="s">
        <v>27</v>
      </c>
      <c r="L476" s="3">
        <f t="shared" si="28"/>
        <v>18</v>
      </c>
      <c r="M476" s="4">
        <f t="shared" si="29"/>
        <v>2.3200000000000003</v>
      </c>
      <c r="N476" s="6">
        <f t="shared" si="30"/>
        <v>0.1191576784797124</v>
      </c>
      <c r="O476" s="4">
        <f t="shared" si="31"/>
        <v>2758.4800000000005</v>
      </c>
    </row>
    <row r="477" spans="1:15" x14ac:dyDescent="0.3">
      <c r="A477" s="3" t="s">
        <v>502</v>
      </c>
      <c r="B477" s="3" t="s">
        <v>29</v>
      </c>
      <c r="C477" s="5">
        <v>45043</v>
      </c>
      <c r="D477" s="3"/>
      <c r="E477" s="3" t="s">
        <v>13</v>
      </c>
      <c r="F477" s="3" t="s">
        <v>18</v>
      </c>
      <c r="G477" s="3">
        <v>240</v>
      </c>
      <c r="H477" s="3">
        <v>88.14</v>
      </c>
      <c r="I477" s="3">
        <v>81.900000000000006</v>
      </c>
      <c r="J477" s="3">
        <v>4</v>
      </c>
      <c r="K477" s="3" t="s">
        <v>15</v>
      </c>
      <c r="L477" s="3" t="str">
        <f t="shared" si="28"/>
        <v/>
      </c>
      <c r="M477" s="4">
        <f t="shared" si="29"/>
        <v>6.2399999999999949</v>
      </c>
      <c r="N477" s="6">
        <f t="shared" si="30"/>
        <v>7.0796460176991094E-2</v>
      </c>
      <c r="O477" s="4">
        <f t="shared" si="31"/>
        <v>1497.5999999999988</v>
      </c>
    </row>
    <row r="478" spans="1:15" x14ac:dyDescent="0.3">
      <c r="A478" s="3" t="s">
        <v>503</v>
      </c>
      <c r="B478" s="3" t="s">
        <v>29</v>
      </c>
      <c r="C478" s="5">
        <v>44789</v>
      </c>
      <c r="D478" s="5">
        <v>44806</v>
      </c>
      <c r="E478" s="3" t="s">
        <v>21</v>
      </c>
      <c r="F478" s="3" t="s">
        <v>18</v>
      </c>
      <c r="G478" s="3">
        <v>302</v>
      </c>
      <c r="H478" s="3">
        <v>26.98</v>
      </c>
      <c r="I478" s="3">
        <v>26.47</v>
      </c>
      <c r="J478" s="3">
        <v>9</v>
      </c>
      <c r="K478" s="3" t="s">
        <v>15</v>
      </c>
      <c r="L478" s="3">
        <f t="shared" si="28"/>
        <v>17</v>
      </c>
      <c r="M478" s="4">
        <f t="shared" si="29"/>
        <v>0.51000000000000156</v>
      </c>
      <c r="N478" s="6">
        <f t="shared" si="30"/>
        <v>1.890289103039294E-2</v>
      </c>
      <c r="O478" s="4">
        <f t="shared" si="31"/>
        <v>154.02000000000046</v>
      </c>
    </row>
    <row r="479" spans="1:15" x14ac:dyDescent="0.3">
      <c r="A479" s="3" t="s">
        <v>504</v>
      </c>
      <c r="B479" s="3" t="s">
        <v>23</v>
      </c>
      <c r="C479" s="5">
        <v>44766</v>
      </c>
      <c r="D479" s="5">
        <v>44776</v>
      </c>
      <c r="E479" s="3" t="s">
        <v>21</v>
      </c>
      <c r="F479" s="3" t="s">
        <v>35</v>
      </c>
      <c r="G479" s="3">
        <v>1030</v>
      </c>
      <c r="H479" s="3">
        <v>70.81</v>
      </c>
      <c r="I479" s="3">
        <v>61.58</v>
      </c>
      <c r="J479" s="3"/>
      <c r="K479" s="3" t="s">
        <v>27</v>
      </c>
      <c r="L479" s="3">
        <f t="shared" si="28"/>
        <v>10</v>
      </c>
      <c r="M479" s="4">
        <f t="shared" si="29"/>
        <v>9.230000000000004</v>
      </c>
      <c r="N479" s="6">
        <f t="shared" si="30"/>
        <v>0.13034882078802434</v>
      </c>
      <c r="O479" s="4">
        <f t="shared" si="31"/>
        <v>9506.9000000000033</v>
      </c>
    </row>
    <row r="480" spans="1:15" x14ac:dyDescent="0.3">
      <c r="A480" s="3" t="s">
        <v>505</v>
      </c>
      <c r="B480" s="3" t="s">
        <v>17</v>
      </c>
      <c r="C480" s="5">
        <v>45033</v>
      </c>
      <c r="D480" s="5">
        <v>45039</v>
      </c>
      <c r="E480" s="3" t="s">
        <v>13</v>
      </c>
      <c r="F480" s="3" t="s">
        <v>18</v>
      </c>
      <c r="G480" s="3">
        <v>977</v>
      </c>
      <c r="H480" s="3">
        <v>33.79</v>
      </c>
      <c r="I480" s="3">
        <v>32.25</v>
      </c>
      <c r="J480" s="3">
        <v>137</v>
      </c>
      <c r="K480" s="3" t="s">
        <v>15</v>
      </c>
      <c r="L480" s="3">
        <f t="shared" si="28"/>
        <v>6</v>
      </c>
      <c r="M480" s="4">
        <f t="shared" si="29"/>
        <v>1.5399999999999991</v>
      </c>
      <c r="N480" s="6">
        <f t="shared" si="30"/>
        <v>4.5575614087007964E-2</v>
      </c>
      <c r="O480" s="4">
        <f t="shared" si="31"/>
        <v>1504.5799999999992</v>
      </c>
    </row>
    <row r="481" spans="1:15" x14ac:dyDescent="0.3">
      <c r="A481" s="3" t="s">
        <v>506</v>
      </c>
      <c r="B481" s="3" t="s">
        <v>12</v>
      </c>
      <c r="C481" s="5">
        <v>44920</v>
      </c>
      <c r="D481" s="5">
        <v>44937</v>
      </c>
      <c r="E481" s="3" t="s">
        <v>24</v>
      </c>
      <c r="F481" s="3" t="s">
        <v>18</v>
      </c>
      <c r="G481" s="3">
        <v>1234</v>
      </c>
      <c r="H481" s="3">
        <v>19.989999999999998</v>
      </c>
      <c r="I481" s="3">
        <v>17.66</v>
      </c>
      <c r="J481" s="3">
        <v>25</v>
      </c>
      <c r="K481" s="3" t="s">
        <v>15</v>
      </c>
      <c r="L481" s="3">
        <f t="shared" si="28"/>
        <v>17</v>
      </c>
      <c r="M481" s="4">
        <f t="shared" si="29"/>
        <v>2.3299999999999983</v>
      </c>
      <c r="N481" s="6">
        <f t="shared" si="30"/>
        <v>0.1165582791395697</v>
      </c>
      <c r="O481" s="4">
        <f t="shared" si="31"/>
        <v>2875.219999999998</v>
      </c>
    </row>
    <row r="482" spans="1:15" x14ac:dyDescent="0.3">
      <c r="A482" s="3" t="s">
        <v>507</v>
      </c>
      <c r="B482" s="3" t="s">
        <v>23</v>
      </c>
      <c r="C482" s="5">
        <v>44874</v>
      </c>
      <c r="D482" s="5">
        <v>44888</v>
      </c>
      <c r="E482" s="3" t="s">
        <v>13</v>
      </c>
      <c r="F482" s="3" t="s">
        <v>18</v>
      </c>
      <c r="G482" s="3">
        <v>1329</v>
      </c>
      <c r="H482" s="3">
        <v>33.479999999999997</v>
      </c>
      <c r="I482" s="3">
        <v>33.06</v>
      </c>
      <c r="J482" s="3">
        <v>146</v>
      </c>
      <c r="K482" s="3" t="s">
        <v>15</v>
      </c>
      <c r="L482" s="3">
        <f t="shared" si="28"/>
        <v>14</v>
      </c>
      <c r="M482" s="4">
        <f t="shared" si="29"/>
        <v>0.4199999999999946</v>
      </c>
      <c r="N482" s="6">
        <f t="shared" si="30"/>
        <v>1.2544802867383352E-2</v>
      </c>
      <c r="O482" s="4">
        <f t="shared" si="31"/>
        <v>558.17999999999279</v>
      </c>
    </row>
    <row r="483" spans="1:15" x14ac:dyDescent="0.3">
      <c r="A483" s="3" t="s">
        <v>508</v>
      </c>
      <c r="B483" s="3" t="s">
        <v>20</v>
      </c>
      <c r="C483" s="5">
        <v>44795</v>
      </c>
      <c r="D483" s="5">
        <v>44803</v>
      </c>
      <c r="E483" s="3" t="s">
        <v>26</v>
      </c>
      <c r="F483" s="3" t="s">
        <v>18</v>
      </c>
      <c r="G483" s="3">
        <v>1396</v>
      </c>
      <c r="H483" s="3">
        <v>77.63</v>
      </c>
      <c r="I483" s="3">
        <v>67.81</v>
      </c>
      <c r="J483" s="3">
        <v>58</v>
      </c>
      <c r="K483" s="3" t="s">
        <v>15</v>
      </c>
      <c r="L483" s="3">
        <f t="shared" si="28"/>
        <v>8</v>
      </c>
      <c r="M483" s="4">
        <f t="shared" si="29"/>
        <v>9.8199999999999932</v>
      </c>
      <c r="N483" s="6">
        <f t="shared" si="30"/>
        <v>0.12649748808450334</v>
      </c>
      <c r="O483" s="4">
        <f t="shared" si="31"/>
        <v>13708.71999999999</v>
      </c>
    </row>
    <row r="484" spans="1:15" x14ac:dyDescent="0.3">
      <c r="A484" s="3" t="s">
        <v>509</v>
      </c>
      <c r="B484" s="3" t="s">
        <v>12</v>
      </c>
      <c r="C484" s="5">
        <v>44790</v>
      </c>
      <c r="D484" s="5">
        <v>44802</v>
      </c>
      <c r="E484" s="3" t="s">
        <v>26</v>
      </c>
      <c r="F484" s="3" t="s">
        <v>18</v>
      </c>
      <c r="G484" s="3">
        <v>177</v>
      </c>
      <c r="H484" s="3">
        <v>90.06</v>
      </c>
      <c r="I484" s="3">
        <v>87.71</v>
      </c>
      <c r="J484" s="3">
        <v>7</v>
      </c>
      <c r="K484" s="3" t="s">
        <v>15</v>
      </c>
      <c r="L484" s="3">
        <f t="shared" si="28"/>
        <v>12</v>
      </c>
      <c r="M484" s="4">
        <f t="shared" si="29"/>
        <v>2.3500000000000085</v>
      </c>
      <c r="N484" s="6">
        <f t="shared" si="30"/>
        <v>2.6093715300910598E-2</v>
      </c>
      <c r="O484" s="4">
        <f t="shared" si="31"/>
        <v>415.95000000000152</v>
      </c>
    </row>
    <row r="485" spans="1:15" x14ac:dyDescent="0.3">
      <c r="A485" s="3" t="s">
        <v>510</v>
      </c>
      <c r="B485" s="3" t="s">
        <v>17</v>
      </c>
      <c r="C485" s="5">
        <v>44586</v>
      </c>
      <c r="D485" s="3"/>
      <c r="E485" s="3" t="s">
        <v>39</v>
      </c>
      <c r="F485" s="3" t="s">
        <v>18</v>
      </c>
      <c r="G485" s="3">
        <v>67</v>
      </c>
      <c r="H485" s="3">
        <v>84.72</v>
      </c>
      <c r="I485" s="3">
        <v>73.06</v>
      </c>
      <c r="J485" s="3">
        <v>9</v>
      </c>
      <c r="K485" s="3" t="s">
        <v>15</v>
      </c>
      <c r="L485" s="3" t="str">
        <f t="shared" si="28"/>
        <v/>
      </c>
      <c r="M485" s="4">
        <f t="shared" si="29"/>
        <v>11.659999999999997</v>
      </c>
      <c r="N485" s="6">
        <f t="shared" si="30"/>
        <v>0.13762983947119919</v>
      </c>
      <c r="O485" s="4">
        <f t="shared" si="31"/>
        <v>781.2199999999998</v>
      </c>
    </row>
    <row r="486" spans="1:15" x14ac:dyDescent="0.3">
      <c r="A486" s="3" t="s">
        <v>511</v>
      </c>
      <c r="B486" s="3" t="s">
        <v>20</v>
      </c>
      <c r="C486" s="5">
        <v>45237</v>
      </c>
      <c r="D486" s="5">
        <v>45250</v>
      </c>
      <c r="E486" s="3" t="s">
        <v>13</v>
      </c>
      <c r="F486" s="3" t="s">
        <v>18</v>
      </c>
      <c r="G486" s="3">
        <v>1866</v>
      </c>
      <c r="H486" s="3">
        <v>50.78</v>
      </c>
      <c r="I486" s="3">
        <v>48.2</v>
      </c>
      <c r="J486" s="3">
        <v>96</v>
      </c>
      <c r="K486" s="3" t="s">
        <v>15</v>
      </c>
      <c r="L486" s="3">
        <f t="shared" si="28"/>
        <v>13</v>
      </c>
      <c r="M486" s="4">
        <f t="shared" si="29"/>
        <v>2.5799999999999983</v>
      </c>
      <c r="N486" s="6">
        <f t="shared" si="30"/>
        <v>5.0807404489956638E-2</v>
      </c>
      <c r="O486" s="4">
        <f t="shared" si="31"/>
        <v>4814.279999999997</v>
      </c>
    </row>
    <row r="487" spans="1:15" x14ac:dyDescent="0.3">
      <c r="A487" s="3" t="s">
        <v>512</v>
      </c>
      <c r="B487" s="3" t="s">
        <v>29</v>
      </c>
      <c r="C487" s="5">
        <v>44759</v>
      </c>
      <c r="D487" s="5">
        <v>44767</v>
      </c>
      <c r="E487" s="3" t="s">
        <v>21</v>
      </c>
      <c r="F487" s="3" t="s">
        <v>18</v>
      </c>
      <c r="G487" s="3">
        <v>1808</v>
      </c>
      <c r="H487" s="3">
        <v>72.23</v>
      </c>
      <c r="I487" s="3">
        <v>67.86</v>
      </c>
      <c r="J487" s="3">
        <v>53</v>
      </c>
      <c r="K487" s="3" t="s">
        <v>15</v>
      </c>
      <c r="L487" s="3">
        <f t="shared" si="28"/>
        <v>8</v>
      </c>
      <c r="M487" s="4">
        <f t="shared" si="29"/>
        <v>4.3700000000000045</v>
      </c>
      <c r="N487" s="6">
        <f t="shared" si="30"/>
        <v>6.050117679634507E-2</v>
      </c>
      <c r="O487" s="4">
        <f t="shared" si="31"/>
        <v>7900.9600000000082</v>
      </c>
    </row>
    <row r="488" spans="1:15" x14ac:dyDescent="0.3">
      <c r="A488" s="3" t="s">
        <v>513</v>
      </c>
      <c r="B488" s="3" t="s">
        <v>17</v>
      </c>
      <c r="C488" s="5">
        <v>44970</v>
      </c>
      <c r="D488" s="5">
        <v>44973</v>
      </c>
      <c r="E488" s="3" t="s">
        <v>39</v>
      </c>
      <c r="F488" s="3" t="s">
        <v>14</v>
      </c>
      <c r="G488" s="3">
        <v>615</v>
      </c>
      <c r="H488" s="3">
        <v>30.3</v>
      </c>
      <c r="I488" s="3">
        <v>29.52</v>
      </c>
      <c r="J488" s="3">
        <v>96</v>
      </c>
      <c r="K488" s="3" t="s">
        <v>15</v>
      </c>
      <c r="L488" s="3">
        <f t="shared" si="28"/>
        <v>3</v>
      </c>
      <c r="M488" s="4">
        <f t="shared" si="29"/>
        <v>0.78000000000000114</v>
      </c>
      <c r="N488" s="6">
        <f t="shared" si="30"/>
        <v>2.5742574257425779E-2</v>
      </c>
      <c r="O488" s="4">
        <f t="shared" si="31"/>
        <v>479.70000000000073</v>
      </c>
    </row>
    <row r="489" spans="1:15" x14ac:dyDescent="0.3">
      <c r="A489" s="3" t="s">
        <v>514</v>
      </c>
      <c r="B489" s="3" t="s">
        <v>20</v>
      </c>
      <c r="C489" s="5">
        <v>44898</v>
      </c>
      <c r="D489" s="5">
        <v>44899</v>
      </c>
      <c r="E489" s="3" t="s">
        <v>13</v>
      </c>
      <c r="F489" s="3" t="s">
        <v>35</v>
      </c>
      <c r="G489" s="3">
        <v>619</v>
      </c>
      <c r="H489" s="3">
        <v>38.380000000000003</v>
      </c>
      <c r="I489" s="3">
        <v>35.020000000000003</v>
      </c>
      <c r="J489" s="3">
        <v>34</v>
      </c>
      <c r="K489" s="3" t="s">
        <v>15</v>
      </c>
      <c r="L489" s="3">
        <f t="shared" si="28"/>
        <v>1</v>
      </c>
      <c r="M489" s="4">
        <f t="shared" si="29"/>
        <v>3.3599999999999994</v>
      </c>
      <c r="N489" s="6">
        <f t="shared" si="30"/>
        <v>8.7545596664929629E-2</v>
      </c>
      <c r="O489" s="4">
        <f t="shared" si="31"/>
        <v>2079.8399999999997</v>
      </c>
    </row>
    <row r="490" spans="1:15" x14ac:dyDescent="0.3">
      <c r="A490" s="3" t="s">
        <v>515</v>
      </c>
      <c r="B490" s="3" t="s">
        <v>17</v>
      </c>
      <c r="C490" s="5">
        <v>44847</v>
      </c>
      <c r="D490" s="5">
        <v>44851</v>
      </c>
      <c r="E490" s="3" t="s">
        <v>13</v>
      </c>
      <c r="F490" s="3" t="s">
        <v>18</v>
      </c>
      <c r="G490" s="3">
        <v>1396</v>
      </c>
      <c r="H490" s="3">
        <v>94.75</v>
      </c>
      <c r="I490" s="3">
        <v>84.06</v>
      </c>
      <c r="J490" s="3">
        <v>210</v>
      </c>
      <c r="K490" s="3" t="s">
        <v>15</v>
      </c>
      <c r="L490" s="3">
        <f t="shared" si="28"/>
        <v>4</v>
      </c>
      <c r="M490" s="4">
        <f t="shared" si="29"/>
        <v>10.689999999999998</v>
      </c>
      <c r="N490" s="6">
        <f t="shared" si="30"/>
        <v>0.11282321899736146</v>
      </c>
      <c r="O490" s="4">
        <f t="shared" si="31"/>
        <v>14923.239999999996</v>
      </c>
    </row>
    <row r="491" spans="1:15" x14ac:dyDescent="0.3">
      <c r="A491" s="3" t="s">
        <v>516</v>
      </c>
      <c r="B491" s="3" t="s">
        <v>20</v>
      </c>
      <c r="C491" s="5">
        <v>44633</v>
      </c>
      <c r="D491" s="5">
        <v>44644</v>
      </c>
      <c r="E491" s="3" t="s">
        <v>21</v>
      </c>
      <c r="F491" s="3" t="s">
        <v>18</v>
      </c>
      <c r="G491" s="3">
        <v>1945</v>
      </c>
      <c r="H491" s="3">
        <v>11.28</v>
      </c>
      <c r="I491" s="3">
        <v>9.98</v>
      </c>
      <c r="J491" s="3">
        <v>94</v>
      </c>
      <c r="K491" s="3" t="s">
        <v>15</v>
      </c>
      <c r="L491" s="3">
        <f t="shared" si="28"/>
        <v>11</v>
      </c>
      <c r="M491" s="4">
        <f t="shared" si="29"/>
        <v>1.2999999999999989</v>
      </c>
      <c r="N491" s="6">
        <f t="shared" si="30"/>
        <v>0.11524822695035453</v>
      </c>
      <c r="O491" s="4">
        <f t="shared" si="31"/>
        <v>2528.4999999999977</v>
      </c>
    </row>
    <row r="492" spans="1:15" x14ac:dyDescent="0.3">
      <c r="A492" s="3" t="s">
        <v>517</v>
      </c>
      <c r="B492" s="3" t="s">
        <v>17</v>
      </c>
      <c r="C492" s="5">
        <v>44847</v>
      </c>
      <c r="D492" s="5">
        <v>44852</v>
      </c>
      <c r="E492" s="3" t="s">
        <v>24</v>
      </c>
      <c r="F492" s="3" t="s">
        <v>18</v>
      </c>
      <c r="G492" s="3">
        <v>735</v>
      </c>
      <c r="H492" s="3">
        <v>18.489999999999998</v>
      </c>
      <c r="I492" s="3">
        <v>15.89</v>
      </c>
      <c r="J492" s="3">
        <v>113</v>
      </c>
      <c r="K492" s="3" t="s">
        <v>27</v>
      </c>
      <c r="L492" s="3">
        <f t="shared" si="28"/>
        <v>5</v>
      </c>
      <c r="M492" s="4">
        <f t="shared" si="29"/>
        <v>2.5999999999999979</v>
      </c>
      <c r="N492" s="6">
        <f t="shared" si="30"/>
        <v>0.14061654948620866</v>
      </c>
      <c r="O492" s="4">
        <f t="shared" si="31"/>
        <v>1910.9999999999984</v>
      </c>
    </row>
    <row r="493" spans="1:15" x14ac:dyDescent="0.3">
      <c r="A493" s="3" t="s">
        <v>518</v>
      </c>
      <c r="B493" s="3" t="s">
        <v>29</v>
      </c>
      <c r="C493" s="5">
        <v>44921</v>
      </c>
      <c r="D493" s="5">
        <v>44937</v>
      </c>
      <c r="E493" s="3" t="s">
        <v>13</v>
      </c>
      <c r="F493" s="3" t="s">
        <v>35</v>
      </c>
      <c r="G493" s="3">
        <v>1865</v>
      </c>
      <c r="H493" s="3">
        <v>30.29</v>
      </c>
      <c r="I493" s="3">
        <v>26.83</v>
      </c>
      <c r="J493" s="3">
        <v>56</v>
      </c>
      <c r="K493" s="3" t="s">
        <v>15</v>
      </c>
      <c r="L493" s="3">
        <f t="shared" si="28"/>
        <v>16</v>
      </c>
      <c r="M493" s="4">
        <f t="shared" si="29"/>
        <v>3.4600000000000009</v>
      </c>
      <c r="N493" s="6">
        <f t="shared" si="30"/>
        <v>0.11422911852096404</v>
      </c>
      <c r="O493" s="4">
        <f t="shared" si="31"/>
        <v>6452.9000000000015</v>
      </c>
    </row>
    <row r="494" spans="1:15" x14ac:dyDescent="0.3">
      <c r="A494" s="3" t="s">
        <v>519</v>
      </c>
      <c r="B494" s="3" t="s">
        <v>23</v>
      </c>
      <c r="C494" s="5">
        <v>45218</v>
      </c>
      <c r="D494" s="5">
        <v>45223</v>
      </c>
      <c r="E494" s="3" t="s">
        <v>39</v>
      </c>
      <c r="F494" s="3" t="s">
        <v>14</v>
      </c>
      <c r="G494" s="3">
        <v>675</v>
      </c>
      <c r="H494" s="3">
        <v>13.69</v>
      </c>
      <c r="I494" s="3">
        <v>11.84</v>
      </c>
      <c r="J494" s="3">
        <v>52</v>
      </c>
      <c r="K494" s="3" t="s">
        <v>15</v>
      </c>
      <c r="L494" s="3">
        <f t="shared" si="28"/>
        <v>5</v>
      </c>
      <c r="M494" s="4">
        <f t="shared" si="29"/>
        <v>1.8499999999999996</v>
      </c>
      <c r="N494" s="6">
        <f t="shared" si="30"/>
        <v>0.13513513513513511</v>
      </c>
      <c r="O494" s="4">
        <f t="shared" si="31"/>
        <v>1248.7499999999998</v>
      </c>
    </row>
    <row r="495" spans="1:15" x14ac:dyDescent="0.3">
      <c r="A495" s="3" t="s">
        <v>520</v>
      </c>
      <c r="B495" s="3" t="s">
        <v>20</v>
      </c>
      <c r="C495" s="5">
        <v>45083</v>
      </c>
      <c r="D495" s="5">
        <v>45099</v>
      </c>
      <c r="E495" s="3" t="s">
        <v>21</v>
      </c>
      <c r="F495" s="3" t="s">
        <v>35</v>
      </c>
      <c r="G495" s="3">
        <v>1361</v>
      </c>
      <c r="H495" s="3">
        <v>28.57</v>
      </c>
      <c r="I495" s="3">
        <v>24.29</v>
      </c>
      <c r="J495" s="3">
        <v>65</v>
      </c>
      <c r="K495" s="3" t="s">
        <v>15</v>
      </c>
      <c r="L495" s="3">
        <f t="shared" si="28"/>
        <v>16</v>
      </c>
      <c r="M495" s="4">
        <f t="shared" si="29"/>
        <v>4.2800000000000011</v>
      </c>
      <c r="N495" s="6">
        <f t="shared" si="30"/>
        <v>0.14980749037451876</v>
      </c>
      <c r="O495" s="4">
        <f t="shared" si="31"/>
        <v>5825.0800000000017</v>
      </c>
    </row>
    <row r="496" spans="1:15" x14ac:dyDescent="0.3">
      <c r="A496" s="3" t="s">
        <v>521</v>
      </c>
      <c r="B496" s="3" t="s">
        <v>20</v>
      </c>
      <c r="C496" s="5">
        <v>44971</v>
      </c>
      <c r="D496" s="5">
        <v>44972</v>
      </c>
      <c r="E496" s="3" t="s">
        <v>26</v>
      </c>
      <c r="F496" s="3" t="s">
        <v>18</v>
      </c>
      <c r="G496" s="3">
        <v>903</v>
      </c>
      <c r="H496" s="3">
        <v>66.53</v>
      </c>
      <c r="I496" s="3">
        <v>60.15</v>
      </c>
      <c r="J496" s="3">
        <v>29</v>
      </c>
      <c r="K496" s="3" t="s">
        <v>15</v>
      </c>
      <c r="L496" s="3">
        <f t="shared" si="28"/>
        <v>1</v>
      </c>
      <c r="M496" s="4">
        <f t="shared" si="29"/>
        <v>6.3800000000000026</v>
      </c>
      <c r="N496" s="6">
        <f t="shared" si="30"/>
        <v>9.5896588005411135E-2</v>
      </c>
      <c r="O496" s="4">
        <f t="shared" si="31"/>
        <v>5761.1400000000021</v>
      </c>
    </row>
    <row r="497" spans="1:15" x14ac:dyDescent="0.3">
      <c r="A497" s="3" t="s">
        <v>522</v>
      </c>
      <c r="B497" s="3" t="s">
        <v>29</v>
      </c>
      <c r="C497" s="5">
        <v>45257</v>
      </c>
      <c r="D497" s="3"/>
      <c r="E497" s="3" t="s">
        <v>24</v>
      </c>
      <c r="F497" s="3" t="s">
        <v>14</v>
      </c>
      <c r="G497" s="3">
        <v>1736</v>
      </c>
      <c r="H497" s="3">
        <v>53.2</v>
      </c>
      <c r="I497" s="3">
        <v>50.68</v>
      </c>
      <c r="J497" s="3">
        <v>48</v>
      </c>
      <c r="K497" s="3" t="s">
        <v>15</v>
      </c>
      <c r="L497" s="3" t="str">
        <f t="shared" si="28"/>
        <v/>
      </c>
      <c r="M497" s="4">
        <f t="shared" si="29"/>
        <v>2.5200000000000031</v>
      </c>
      <c r="N497" s="6">
        <f t="shared" si="30"/>
        <v>4.7368421052631636E-2</v>
      </c>
      <c r="O497" s="4">
        <f t="shared" si="31"/>
        <v>4374.7200000000057</v>
      </c>
    </row>
    <row r="498" spans="1:15" x14ac:dyDescent="0.3">
      <c r="A498" s="3" t="s">
        <v>523</v>
      </c>
      <c r="B498" s="3" t="s">
        <v>23</v>
      </c>
      <c r="C498" s="5">
        <v>45111</v>
      </c>
      <c r="D498" s="5">
        <v>45118</v>
      </c>
      <c r="E498" s="3" t="s">
        <v>21</v>
      </c>
      <c r="F498" s="3" t="s">
        <v>18</v>
      </c>
      <c r="G498" s="3">
        <v>1011</v>
      </c>
      <c r="H498" s="3">
        <v>98.47</v>
      </c>
      <c r="I498" s="3">
        <v>97.06</v>
      </c>
      <c r="J498" s="3">
        <v>91</v>
      </c>
      <c r="K498" s="3" t="s">
        <v>15</v>
      </c>
      <c r="L498" s="3">
        <f t="shared" si="28"/>
        <v>7</v>
      </c>
      <c r="M498" s="4">
        <f t="shared" si="29"/>
        <v>1.4099999999999966</v>
      </c>
      <c r="N498" s="6">
        <f t="shared" si="30"/>
        <v>1.4319081953894553E-2</v>
      </c>
      <c r="O498" s="4">
        <f t="shared" si="31"/>
        <v>1425.5099999999966</v>
      </c>
    </row>
    <row r="499" spans="1:15" x14ac:dyDescent="0.3">
      <c r="A499" s="3" t="s">
        <v>524</v>
      </c>
      <c r="B499" s="3" t="s">
        <v>17</v>
      </c>
      <c r="C499" s="5">
        <v>44901</v>
      </c>
      <c r="D499" s="5">
        <v>44919</v>
      </c>
      <c r="E499" s="3" t="s">
        <v>39</v>
      </c>
      <c r="F499" s="3" t="s">
        <v>18</v>
      </c>
      <c r="G499" s="3">
        <v>1712</v>
      </c>
      <c r="H499" s="3">
        <v>88.17</v>
      </c>
      <c r="I499" s="3">
        <v>85.86</v>
      </c>
      <c r="J499" s="3">
        <v>246</v>
      </c>
      <c r="K499" s="3" t="s">
        <v>15</v>
      </c>
      <c r="L499" s="3">
        <f t="shared" si="28"/>
        <v>18</v>
      </c>
      <c r="M499" s="4">
        <f t="shared" si="29"/>
        <v>2.3100000000000023</v>
      </c>
      <c r="N499" s="6">
        <f t="shared" si="30"/>
        <v>2.6199387546784646E-2</v>
      </c>
      <c r="O499" s="4">
        <f t="shared" si="31"/>
        <v>3954.7200000000039</v>
      </c>
    </row>
    <row r="500" spans="1:15" x14ac:dyDescent="0.3">
      <c r="A500" s="3" t="s">
        <v>525</v>
      </c>
      <c r="B500" s="3" t="s">
        <v>20</v>
      </c>
      <c r="C500" s="5">
        <v>44590</v>
      </c>
      <c r="D500" s="3"/>
      <c r="E500" s="3" t="s">
        <v>13</v>
      </c>
      <c r="F500" s="3" t="s">
        <v>18</v>
      </c>
      <c r="G500" s="3">
        <v>204</v>
      </c>
      <c r="H500" s="3">
        <v>40.76</v>
      </c>
      <c r="I500" s="3">
        <v>37.46</v>
      </c>
      <c r="J500" s="3">
        <v>10</v>
      </c>
      <c r="K500" s="3" t="s">
        <v>15</v>
      </c>
      <c r="L500" s="3" t="str">
        <f t="shared" si="28"/>
        <v/>
      </c>
      <c r="M500" s="4">
        <f t="shared" si="29"/>
        <v>3.2999999999999972</v>
      </c>
      <c r="N500" s="6">
        <f t="shared" si="30"/>
        <v>8.0961727183513188E-2</v>
      </c>
      <c r="O500" s="4">
        <f t="shared" si="31"/>
        <v>673.19999999999936</v>
      </c>
    </row>
    <row r="501" spans="1:15" x14ac:dyDescent="0.3">
      <c r="A501" s="3" t="s">
        <v>526</v>
      </c>
      <c r="B501" s="3" t="s">
        <v>23</v>
      </c>
      <c r="C501" s="5">
        <v>44680</v>
      </c>
      <c r="D501" s="5">
        <v>44694</v>
      </c>
      <c r="E501" s="3" t="s">
        <v>39</v>
      </c>
      <c r="F501" s="3" t="s">
        <v>33</v>
      </c>
      <c r="G501" s="3">
        <v>539</v>
      </c>
      <c r="H501" s="3">
        <v>33.85</v>
      </c>
      <c r="I501" s="3">
        <v>30.57</v>
      </c>
      <c r="J501" s="3">
        <v>34</v>
      </c>
      <c r="K501" s="3" t="s">
        <v>27</v>
      </c>
      <c r="L501" s="3">
        <f t="shared" si="28"/>
        <v>14</v>
      </c>
      <c r="M501" s="4">
        <f t="shared" si="29"/>
        <v>3.2800000000000011</v>
      </c>
      <c r="N501" s="6">
        <f t="shared" si="30"/>
        <v>9.6898079763663256E-2</v>
      </c>
      <c r="O501" s="4">
        <f t="shared" si="31"/>
        <v>1767.9200000000005</v>
      </c>
    </row>
    <row r="502" spans="1:15" x14ac:dyDescent="0.3">
      <c r="A502" s="3" t="s">
        <v>527</v>
      </c>
      <c r="B502" s="3" t="s">
        <v>17</v>
      </c>
      <c r="C502" s="5">
        <v>44829</v>
      </c>
      <c r="D502" s="5">
        <v>44839</v>
      </c>
      <c r="E502" s="3" t="s">
        <v>13</v>
      </c>
      <c r="F502" s="3" t="s">
        <v>18</v>
      </c>
      <c r="G502" s="3">
        <v>1459</v>
      </c>
      <c r="H502" s="3">
        <v>45.94</v>
      </c>
      <c r="I502" s="3">
        <v>42.56</v>
      </c>
      <c r="J502" s="3">
        <v>212</v>
      </c>
      <c r="K502" s="3" t="s">
        <v>27</v>
      </c>
      <c r="L502" s="3">
        <f t="shared" si="28"/>
        <v>10</v>
      </c>
      <c r="M502" s="4">
        <f t="shared" si="29"/>
        <v>3.3799999999999955</v>
      </c>
      <c r="N502" s="6">
        <f t="shared" si="30"/>
        <v>7.3574227252938523E-2</v>
      </c>
      <c r="O502" s="4">
        <f t="shared" si="31"/>
        <v>4931.4199999999937</v>
      </c>
    </row>
    <row r="503" spans="1:15" x14ac:dyDescent="0.3">
      <c r="A503" s="3" t="s">
        <v>528</v>
      </c>
      <c r="B503" s="3" t="s">
        <v>20</v>
      </c>
      <c r="C503" s="5">
        <v>44744</v>
      </c>
      <c r="D503" s="5">
        <v>44748</v>
      </c>
      <c r="E503" s="3" t="s">
        <v>21</v>
      </c>
      <c r="F503" s="3" t="s">
        <v>18</v>
      </c>
      <c r="G503" s="3">
        <v>834</v>
      </c>
      <c r="H503" s="3">
        <v>65.02</v>
      </c>
      <c r="I503" s="3">
        <v>56.19</v>
      </c>
      <c r="J503" s="3"/>
      <c r="K503" s="3" t="s">
        <v>15</v>
      </c>
      <c r="L503" s="3">
        <f t="shared" si="28"/>
        <v>4</v>
      </c>
      <c r="M503" s="4">
        <f t="shared" si="29"/>
        <v>8.8299999999999983</v>
      </c>
      <c r="N503" s="6">
        <f t="shared" si="30"/>
        <v>0.13580436788680406</v>
      </c>
      <c r="O503" s="4">
        <f t="shared" si="31"/>
        <v>7364.2199999999984</v>
      </c>
    </row>
    <row r="504" spans="1:15" x14ac:dyDescent="0.3">
      <c r="A504" s="3" t="s">
        <v>529</v>
      </c>
      <c r="B504" s="3" t="s">
        <v>20</v>
      </c>
      <c r="C504" s="5">
        <v>45156</v>
      </c>
      <c r="D504" s="5">
        <v>45170</v>
      </c>
      <c r="E504" s="3" t="s">
        <v>24</v>
      </c>
      <c r="F504" s="3" t="s">
        <v>33</v>
      </c>
      <c r="G504" s="3">
        <v>1177</v>
      </c>
      <c r="H504" s="3">
        <v>37.369999999999997</v>
      </c>
      <c r="I504" s="3">
        <v>34.270000000000003</v>
      </c>
      <c r="J504" s="3">
        <v>60</v>
      </c>
      <c r="K504" s="3" t="s">
        <v>15</v>
      </c>
      <c r="L504" s="3">
        <f t="shared" si="28"/>
        <v>14</v>
      </c>
      <c r="M504" s="4">
        <f t="shared" si="29"/>
        <v>3.0999999999999943</v>
      </c>
      <c r="N504" s="6">
        <f t="shared" si="30"/>
        <v>8.295424137008281E-2</v>
      </c>
      <c r="O504" s="4">
        <f t="shared" si="31"/>
        <v>3648.6999999999935</v>
      </c>
    </row>
    <row r="505" spans="1:15" x14ac:dyDescent="0.3">
      <c r="A505" s="3" t="s">
        <v>530</v>
      </c>
      <c r="B505" s="3" t="s">
        <v>17</v>
      </c>
      <c r="C505" s="5">
        <v>44833</v>
      </c>
      <c r="D505" s="5">
        <v>44853</v>
      </c>
      <c r="E505" s="3" t="s">
        <v>21</v>
      </c>
      <c r="F505" s="3" t="s">
        <v>18</v>
      </c>
      <c r="G505" s="3">
        <v>1466</v>
      </c>
      <c r="H505" s="3">
        <v>68.819999999999993</v>
      </c>
      <c r="I505" s="3">
        <v>66.819999999999993</v>
      </c>
      <c r="J505" s="3">
        <v>211</v>
      </c>
      <c r="K505" s="3" t="s">
        <v>15</v>
      </c>
      <c r="L505" s="3">
        <f t="shared" si="28"/>
        <v>20</v>
      </c>
      <c r="M505" s="4">
        <f t="shared" si="29"/>
        <v>2</v>
      </c>
      <c r="N505" s="6">
        <f t="shared" si="30"/>
        <v>2.9061319383900032E-2</v>
      </c>
      <c r="O505" s="4">
        <f t="shared" si="31"/>
        <v>2932</v>
      </c>
    </row>
    <row r="506" spans="1:15" x14ac:dyDescent="0.3">
      <c r="A506" s="3" t="s">
        <v>531</v>
      </c>
      <c r="B506" s="3" t="s">
        <v>29</v>
      </c>
      <c r="C506" s="5">
        <v>44601</v>
      </c>
      <c r="D506" s="5">
        <v>44605</v>
      </c>
      <c r="E506" s="3" t="s">
        <v>39</v>
      </c>
      <c r="F506" s="3" t="s">
        <v>18</v>
      </c>
      <c r="G506" s="3">
        <v>1884</v>
      </c>
      <c r="H506" s="3">
        <v>47.08</v>
      </c>
      <c r="I506" s="3">
        <v>44.31</v>
      </c>
      <c r="J506" s="3">
        <v>54</v>
      </c>
      <c r="K506" s="3" t="s">
        <v>15</v>
      </c>
      <c r="L506" s="3">
        <f t="shared" si="28"/>
        <v>4</v>
      </c>
      <c r="M506" s="4">
        <f t="shared" si="29"/>
        <v>2.769999999999996</v>
      </c>
      <c r="N506" s="6">
        <f t="shared" si="30"/>
        <v>5.8836023789294735E-2</v>
      </c>
      <c r="O506" s="4">
        <f t="shared" si="31"/>
        <v>5218.6799999999921</v>
      </c>
    </row>
    <row r="507" spans="1:15" x14ac:dyDescent="0.3">
      <c r="A507" s="3" t="s">
        <v>532</v>
      </c>
      <c r="B507" s="3" t="s">
        <v>23</v>
      </c>
      <c r="C507" s="5">
        <v>44673</v>
      </c>
      <c r="D507" s="5">
        <v>44689</v>
      </c>
      <c r="E507" s="3" t="s">
        <v>39</v>
      </c>
      <c r="F507" s="3" t="s">
        <v>18</v>
      </c>
      <c r="G507" s="3">
        <v>295</v>
      </c>
      <c r="H507" s="3">
        <v>60.58</v>
      </c>
      <c r="I507" s="3">
        <v>57.32</v>
      </c>
      <c r="J507" s="3">
        <v>31</v>
      </c>
      <c r="K507" s="3" t="s">
        <v>15</v>
      </c>
      <c r="L507" s="3">
        <f t="shared" si="28"/>
        <v>16</v>
      </c>
      <c r="M507" s="4">
        <f t="shared" si="29"/>
        <v>3.259999999999998</v>
      </c>
      <c r="N507" s="6">
        <f t="shared" si="30"/>
        <v>5.3813139650049489E-2</v>
      </c>
      <c r="O507" s="4">
        <f t="shared" si="31"/>
        <v>961.69999999999936</v>
      </c>
    </row>
    <row r="508" spans="1:15" x14ac:dyDescent="0.3">
      <c r="A508" s="3" t="s">
        <v>533</v>
      </c>
      <c r="B508" s="3" t="s">
        <v>20</v>
      </c>
      <c r="C508" s="5">
        <v>45172</v>
      </c>
      <c r="D508" s="5">
        <v>45173</v>
      </c>
      <c r="E508" s="3" t="s">
        <v>26</v>
      </c>
      <c r="F508" s="3" t="s">
        <v>18</v>
      </c>
      <c r="G508" s="3">
        <v>1249</v>
      </c>
      <c r="H508" s="3">
        <v>54.18</v>
      </c>
      <c r="I508" s="3">
        <v>47.29</v>
      </c>
      <c r="J508" s="3">
        <v>59</v>
      </c>
      <c r="K508" s="3" t="s">
        <v>15</v>
      </c>
      <c r="L508" s="3">
        <f t="shared" si="28"/>
        <v>1</v>
      </c>
      <c r="M508" s="4">
        <f t="shared" si="29"/>
        <v>6.8900000000000006</v>
      </c>
      <c r="N508" s="6">
        <f t="shared" si="30"/>
        <v>0.1271686969361388</v>
      </c>
      <c r="O508" s="4">
        <f t="shared" si="31"/>
        <v>8605.61</v>
      </c>
    </row>
    <row r="509" spans="1:15" x14ac:dyDescent="0.3">
      <c r="A509" s="3" t="s">
        <v>534</v>
      </c>
      <c r="B509" s="3" t="s">
        <v>17</v>
      </c>
      <c r="C509" s="5">
        <v>45006</v>
      </c>
      <c r="D509" s="5">
        <v>45025</v>
      </c>
      <c r="E509" s="3" t="s">
        <v>26</v>
      </c>
      <c r="F509" s="3" t="s">
        <v>18</v>
      </c>
      <c r="G509" s="3">
        <v>1112</v>
      </c>
      <c r="H509" s="3">
        <v>39.06</v>
      </c>
      <c r="I509" s="3">
        <v>33.6</v>
      </c>
      <c r="J509" s="3">
        <v>184</v>
      </c>
      <c r="K509" s="3" t="s">
        <v>27</v>
      </c>
      <c r="L509" s="3">
        <f t="shared" si="28"/>
        <v>19</v>
      </c>
      <c r="M509" s="4">
        <f t="shared" si="29"/>
        <v>5.4600000000000009</v>
      </c>
      <c r="N509" s="6">
        <f t="shared" si="30"/>
        <v>0.13978494623655915</v>
      </c>
      <c r="O509" s="4">
        <f t="shared" si="31"/>
        <v>6071.5200000000013</v>
      </c>
    </row>
    <row r="510" spans="1:15" x14ac:dyDescent="0.3">
      <c r="A510" s="3" t="s">
        <v>535</v>
      </c>
      <c r="B510" s="3" t="s">
        <v>20</v>
      </c>
      <c r="C510" s="5">
        <v>44915</v>
      </c>
      <c r="D510" s="5">
        <v>44920</v>
      </c>
      <c r="E510" s="3" t="s">
        <v>13</v>
      </c>
      <c r="F510" s="3" t="s">
        <v>18</v>
      </c>
      <c r="G510" s="3">
        <v>1550</v>
      </c>
      <c r="H510" s="3">
        <v>100.61</v>
      </c>
      <c r="I510" s="3">
        <v>97.43</v>
      </c>
      <c r="J510" s="3">
        <v>66</v>
      </c>
      <c r="K510" s="3" t="s">
        <v>15</v>
      </c>
      <c r="L510" s="3">
        <f t="shared" si="28"/>
        <v>5</v>
      </c>
      <c r="M510" s="4">
        <f t="shared" si="29"/>
        <v>3.1799999999999926</v>
      </c>
      <c r="N510" s="6">
        <f t="shared" si="30"/>
        <v>3.160719610376695E-2</v>
      </c>
      <c r="O510" s="4">
        <f t="shared" si="31"/>
        <v>4928.9999999999882</v>
      </c>
    </row>
    <row r="511" spans="1:15" x14ac:dyDescent="0.3">
      <c r="A511" s="3" t="s">
        <v>536</v>
      </c>
      <c r="B511" s="3" t="s">
        <v>17</v>
      </c>
      <c r="C511" s="5">
        <v>44883</v>
      </c>
      <c r="D511" s="5">
        <v>44884</v>
      </c>
      <c r="E511" s="3" t="s">
        <v>39</v>
      </c>
      <c r="F511" s="3" t="s">
        <v>18</v>
      </c>
      <c r="G511" s="3">
        <v>1755</v>
      </c>
      <c r="H511" s="3">
        <v>82.66</v>
      </c>
      <c r="I511" s="3">
        <v>73.67</v>
      </c>
      <c r="J511" s="3">
        <v>258</v>
      </c>
      <c r="K511" s="3" t="s">
        <v>27</v>
      </c>
      <c r="L511" s="3">
        <f t="shared" si="28"/>
        <v>1</v>
      </c>
      <c r="M511" s="4">
        <f t="shared" si="29"/>
        <v>8.9899999999999949</v>
      </c>
      <c r="N511" s="6">
        <f t="shared" si="30"/>
        <v>0.10875877086861838</v>
      </c>
      <c r="O511" s="4">
        <f t="shared" si="31"/>
        <v>15777.449999999992</v>
      </c>
    </row>
    <row r="512" spans="1:15" x14ac:dyDescent="0.3">
      <c r="A512" s="3" t="s">
        <v>537</v>
      </c>
      <c r="B512" s="3" t="s">
        <v>20</v>
      </c>
      <c r="C512" s="5">
        <v>45008</v>
      </c>
      <c r="D512" s="5">
        <v>45016</v>
      </c>
      <c r="E512" s="3" t="s">
        <v>26</v>
      </c>
      <c r="F512" s="3" t="s">
        <v>18</v>
      </c>
      <c r="G512" s="3">
        <v>808</v>
      </c>
      <c r="H512" s="3">
        <v>24.19</v>
      </c>
      <c r="I512" s="3">
        <v>21.64</v>
      </c>
      <c r="J512" s="3">
        <v>39</v>
      </c>
      <c r="K512" s="3" t="s">
        <v>15</v>
      </c>
      <c r="L512" s="3">
        <f t="shared" si="28"/>
        <v>8</v>
      </c>
      <c r="M512" s="4">
        <f t="shared" si="29"/>
        <v>2.5500000000000007</v>
      </c>
      <c r="N512" s="6">
        <f t="shared" si="30"/>
        <v>0.10541546093427039</v>
      </c>
      <c r="O512" s="4">
        <f t="shared" si="31"/>
        <v>2060.4000000000005</v>
      </c>
    </row>
    <row r="513" spans="1:15" x14ac:dyDescent="0.3">
      <c r="A513" s="3" t="s">
        <v>538</v>
      </c>
      <c r="B513" s="3" t="s">
        <v>12</v>
      </c>
      <c r="C513" s="5">
        <v>45182</v>
      </c>
      <c r="D513" s="5">
        <v>45188</v>
      </c>
      <c r="E513" s="3" t="s">
        <v>26</v>
      </c>
      <c r="F513" s="3" t="s">
        <v>33</v>
      </c>
      <c r="G513" s="3">
        <v>587</v>
      </c>
      <c r="H513" s="3">
        <v>96.98</v>
      </c>
      <c r="I513" s="3">
        <v>95.35</v>
      </c>
      <c r="J513" s="3">
        <v>14</v>
      </c>
      <c r="K513" s="3" t="s">
        <v>15</v>
      </c>
      <c r="L513" s="3">
        <f t="shared" si="28"/>
        <v>6</v>
      </c>
      <c r="M513" s="4">
        <f t="shared" si="29"/>
        <v>1.6300000000000097</v>
      </c>
      <c r="N513" s="6">
        <f t="shared" si="30"/>
        <v>1.6807589193648272E-2</v>
      </c>
      <c r="O513" s="4">
        <f t="shared" si="31"/>
        <v>956.81000000000563</v>
      </c>
    </row>
    <row r="514" spans="1:15" x14ac:dyDescent="0.3">
      <c r="A514" s="3" t="s">
        <v>539</v>
      </c>
      <c r="B514" s="3" t="s">
        <v>29</v>
      </c>
      <c r="C514" s="5">
        <v>45085</v>
      </c>
      <c r="D514" s="5">
        <v>45088</v>
      </c>
      <c r="E514" s="3" t="s">
        <v>21</v>
      </c>
      <c r="F514" s="3" t="s">
        <v>18</v>
      </c>
      <c r="G514" s="3">
        <v>1940</v>
      </c>
      <c r="H514" s="3">
        <v>58.45</v>
      </c>
      <c r="I514" s="3">
        <v>50.29</v>
      </c>
      <c r="J514" s="3">
        <v>54</v>
      </c>
      <c r="K514" s="3" t="s">
        <v>15</v>
      </c>
      <c r="L514" s="3">
        <f t="shared" si="28"/>
        <v>3</v>
      </c>
      <c r="M514" s="4">
        <f t="shared" si="29"/>
        <v>8.1600000000000037</v>
      </c>
      <c r="N514" s="6">
        <f t="shared" si="30"/>
        <v>0.13960650128314805</v>
      </c>
      <c r="O514" s="4">
        <f t="shared" si="31"/>
        <v>15830.400000000007</v>
      </c>
    </row>
    <row r="515" spans="1:15" x14ac:dyDescent="0.3">
      <c r="A515" s="3" t="s">
        <v>540</v>
      </c>
      <c r="B515" s="3" t="s">
        <v>23</v>
      </c>
      <c r="C515" s="5">
        <v>44680</v>
      </c>
      <c r="D515" s="5">
        <v>44692</v>
      </c>
      <c r="E515" s="3" t="s">
        <v>13</v>
      </c>
      <c r="F515" s="3" t="s">
        <v>14</v>
      </c>
      <c r="G515" s="3">
        <v>1891</v>
      </c>
      <c r="H515" s="3">
        <v>91.87</v>
      </c>
      <c r="I515" s="3">
        <v>80.28</v>
      </c>
      <c r="J515" s="3">
        <v>158</v>
      </c>
      <c r="K515" s="3" t="s">
        <v>15</v>
      </c>
      <c r="L515" s="3">
        <f t="shared" ref="L515:L578" si="32">IF(OR(C515="",D515=""),"",D515-C515)</f>
        <v>12</v>
      </c>
      <c r="M515" s="4">
        <f t="shared" ref="M515:M578" si="33">H515-I515</f>
        <v>11.590000000000003</v>
      </c>
      <c r="N515" s="6">
        <f t="shared" ref="N515:N578" si="34">IFERROR((H515-I515)/H515,0)</f>
        <v>0.12615652552519868</v>
      </c>
      <c r="O515" s="4">
        <f t="shared" ref="O515:O578" si="35">(H515-I515)*G515</f>
        <v>21916.690000000006</v>
      </c>
    </row>
    <row r="516" spans="1:15" x14ac:dyDescent="0.3">
      <c r="A516" s="3" t="s">
        <v>541</v>
      </c>
      <c r="B516" s="3" t="s">
        <v>29</v>
      </c>
      <c r="C516" s="5">
        <v>44956</v>
      </c>
      <c r="D516" s="5">
        <v>44973</v>
      </c>
      <c r="E516" s="3" t="s">
        <v>24</v>
      </c>
      <c r="F516" s="3" t="s">
        <v>18</v>
      </c>
      <c r="G516" s="3">
        <v>970</v>
      </c>
      <c r="H516" s="3">
        <v>86.91</v>
      </c>
      <c r="I516" s="3">
        <v>78.44</v>
      </c>
      <c r="J516" s="3">
        <v>18</v>
      </c>
      <c r="K516" s="3" t="s">
        <v>15</v>
      </c>
      <c r="L516" s="3">
        <f t="shared" si="32"/>
        <v>17</v>
      </c>
      <c r="M516" s="4">
        <f t="shared" si="33"/>
        <v>8.4699999999999989</v>
      </c>
      <c r="N516" s="6">
        <f t="shared" si="34"/>
        <v>9.7457139569669768E-2</v>
      </c>
      <c r="O516" s="4">
        <f t="shared" si="35"/>
        <v>8215.9</v>
      </c>
    </row>
    <row r="517" spans="1:15" x14ac:dyDescent="0.3">
      <c r="A517" s="3" t="s">
        <v>542</v>
      </c>
      <c r="B517" s="3" t="s">
        <v>29</v>
      </c>
      <c r="C517" s="5">
        <v>45152</v>
      </c>
      <c r="D517" s="5">
        <v>45169</v>
      </c>
      <c r="E517" s="3" t="s">
        <v>21</v>
      </c>
      <c r="F517" s="3" t="s">
        <v>18</v>
      </c>
      <c r="G517" s="3">
        <v>457</v>
      </c>
      <c r="H517" s="3">
        <v>52.85</v>
      </c>
      <c r="I517" s="3">
        <v>50.34</v>
      </c>
      <c r="J517" s="3">
        <v>16</v>
      </c>
      <c r="K517" s="3" t="s">
        <v>15</v>
      </c>
      <c r="L517" s="3">
        <f t="shared" si="32"/>
        <v>17</v>
      </c>
      <c r="M517" s="4">
        <f t="shared" si="33"/>
        <v>2.509999999999998</v>
      </c>
      <c r="N517" s="6">
        <f t="shared" si="34"/>
        <v>4.7492904446546795E-2</v>
      </c>
      <c r="O517" s="4">
        <f t="shared" si="35"/>
        <v>1147.069999999999</v>
      </c>
    </row>
    <row r="518" spans="1:15" x14ac:dyDescent="0.3">
      <c r="A518" s="3" t="s">
        <v>543</v>
      </c>
      <c r="B518" s="3" t="s">
        <v>23</v>
      </c>
      <c r="C518" s="5">
        <v>44756</v>
      </c>
      <c r="D518" s="5">
        <v>44769</v>
      </c>
      <c r="E518" s="3" t="s">
        <v>13</v>
      </c>
      <c r="F518" s="3" t="s">
        <v>14</v>
      </c>
      <c r="G518" s="3">
        <v>574</v>
      </c>
      <c r="H518" s="3">
        <v>12.38</v>
      </c>
      <c r="I518" s="3">
        <v>11.47</v>
      </c>
      <c r="J518" s="3"/>
      <c r="K518" s="3" t="s">
        <v>27</v>
      </c>
      <c r="L518" s="3">
        <f t="shared" si="32"/>
        <v>13</v>
      </c>
      <c r="M518" s="4">
        <f t="shared" si="33"/>
        <v>0.91000000000000014</v>
      </c>
      <c r="N518" s="6">
        <f t="shared" si="34"/>
        <v>7.3505654281098551E-2</v>
      </c>
      <c r="O518" s="4">
        <f t="shared" si="35"/>
        <v>522.34</v>
      </c>
    </row>
    <row r="519" spans="1:15" x14ac:dyDescent="0.3">
      <c r="A519" s="3" t="s">
        <v>544</v>
      </c>
      <c r="B519" s="3" t="s">
        <v>29</v>
      </c>
      <c r="C519" s="5">
        <v>44822</v>
      </c>
      <c r="D519" s="5">
        <v>44824</v>
      </c>
      <c r="E519" s="3" t="s">
        <v>13</v>
      </c>
      <c r="F519" s="3" t="s">
        <v>18</v>
      </c>
      <c r="G519" s="3">
        <v>877</v>
      </c>
      <c r="H519" s="3">
        <v>35.549999999999997</v>
      </c>
      <c r="I519" s="3">
        <v>34.69</v>
      </c>
      <c r="J519" s="3">
        <v>24</v>
      </c>
      <c r="K519" s="3" t="s">
        <v>15</v>
      </c>
      <c r="L519" s="3">
        <f t="shared" si="32"/>
        <v>2</v>
      </c>
      <c r="M519" s="4">
        <f t="shared" si="33"/>
        <v>0.85999999999999943</v>
      </c>
      <c r="N519" s="6">
        <f t="shared" si="34"/>
        <v>2.4191279887482407E-2</v>
      </c>
      <c r="O519" s="4">
        <f t="shared" si="35"/>
        <v>754.21999999999946</v>
      </c>
    </row>
    <row r="520" spans="1:15" x14ac:dyDescent="0.3">
      <c r="A520" s="3" t="s">
        <v>545</v>
      </c>
      <c r="B520" s="3" t="s">
        <v>12</v>
      </c>
      <c r="C520" s="5">
        <v>44607</v>
      </c>
      <c r="D520" s="5">
        <v>44619</v>
      </c>
      <c r="E520" s="3" t="s">
        <v>21</v>
      </c>
      <c r="F520" s="3" t="s">
        <v>18</v>
      </c>
      <c r="G520" s="3">
        <v>1579</v>
      </c>
      <c r="H520" s="3">
        <v>59.04</v>
      </c>
      <c r="I520" s="3">
        <v>50.95</v>
      </c>
      <c r="J520" s="3">
        <v>29</v>
      </c>
      <c r="K520" s="3" t="s">
        <v>15</v>
      </c>
      <c r="L520" s="3">
        <f t="shared" si="32"/>
        <v>12</v>
      </c>
      <c r="M520" s="4">
        <f t="shared" si="33"/>
        <v>8.0899999999999963</v>
      </c>
      <c r="N520" s="6">
        <f t="shared" si="34"/>
        <v>0.13702574525745251</v>
      </c>
      <c r="O520" s="4">
        <f t="shared" si="35"/>
        <v>12774.109999999993</v>
      </c>
    </row>
    <row r="521" spans="1:15" x14ac:dyDescent="0.3">
      <c r="A521" s="3" t="s">
        <v>546</v>
      </c>
      <c r="B521" s="3" t="s">
        <v>17</v>
      </c>
      <c r="C521" s="5">
        <v>45287</v>
      </c>
      <c r="D521" s="5">
        <v>45288</v>
      </c>
      <c r="E521" s="3" t="s">
        <v>26</v>
      </c>
      <c r="F521" s="3" t="s">
        <v>18</v>
      </c>
      <c r="G521" s="3">
        <v>952</v>
      </c>
      <c r="H521" s="3">
        <v>74.72</v>
      </c>
      <c r="I521" s="3">
        <v>69.73</v>
      </c>
      <c r="J521" s="3"/>
      <c r="K521" s="3" t="s">
        <v>15</v>
      </c>
      <c r="L521" s="3">
        <f t="shared" si="32"/>
        <v>1</v>
      </c>
      <c r="M521" s="4">
        <f t="shared" si="33"/>
        <v>4.9899999999999949</v>
      </c>
      <c r="N521" s="6">
        <f t="shared" si="34"/>
        <v>6.6782655246252612E-2</v>
      </c>
      <c r="O521" s="4">
        <f t="shared" si="35"/>
        <v>4750.479999999995</v>
      </c>
    </row>
    <row r="522" spans="1:15" x14ac:dyDescent="0.3">
      <c r="A522" s="3" t="s">
        <v>547</v>
      </c>
      <c r="B522" s="3" t="s">
        <v>23</v>
      </c>
      <c r="C522" s="5">
        <v>45008</v>
      </c>
      <c r="D522" s="5">
        <v>45011</v>
      </c>
      <c r="E522" s="3" t="s">
        <v>26</v>
      </c>
      <c r="F522" s="3" t="s">
        <v>35</v>
      </c>
      <c r="G522" s="3">
        <v>1898</v>
      </c>
      <c r="H522" s="3">
        <v>35.53</v>
      </c>
      <c r="I522" s="3">
        <v>33.25</v>
      </c>
      <c r="J522" s="3">
        <v>187</v>
      </c>
      <c r="K522" s="3" t="s">
        <v>15</v>
      </c>
      <c r="L522" s="3">
        <f t="shared" si="32"/>
        <v>3</v>
      </c>
      <c r="M522" s="4">
        <f t="shared" si="33"/>
        <v>2.2800000000000011</v>
      </c>
      <c r="N522" s="6">
        <f t="shared" si="34"/>
        <v>6.4171122994652441E-2</v>
      </c>
      <c r="O522" s="4">
        <f t="shared" si="35"/>
        <v>4327.4400000000023</v>
      </c>
    </row>
    <row r="523" spans="1:15" x14ac:dyDescent="0.3">
      <c r="A523" s="3" t="s">
        <v>548</v>
      </c>
      <c r="B523" s="3" t="s">
        <v>17</v>
      </c>
      <c r="C523" s="5">
        <v>44563</v>
      </c>
      <c r="D523" s="5">
        <v>44567</v>
      </c>
      <c r="E523" s="3" t="s">
        <v>24</v>
      </c>
      <c r="F523" s="3" t="s">
        <v>18</v>
      </c>
      <c r="G523" s="3">
        <v>85</v>
      </c>
      <c r="H523" s="3">
        <v>22.54</v>
      </c>
      <c r="I523" s="3">
        <v>20.68</v>
      </c>
      <c r="J523" s="3">
        <v>6</v>
      </c>
      <c r="K523" s="3" t="s">
        <v>15</v>
      </c>
      <c r="L523" s="3">
        <f t="shared" si="32"/>
        <v>4</v>
      </c>
      <c r="M523" s="4">
        <f t="shared" si="33"/>
        <v>1.8599999999999994</v>
      </c>
      <c r="N523" s="6">
        <f t="shared" si="34"/>
        <v>8.2519964507542121E-2</v>
      </c>
      <c r="O523" s="4">
        <f t="shared" si="35"/>
        <v>158.09999999999997</v>
      </c>
    </row>
    <row r="524" spans="1:15" x14ac:dyDescent="0.3">
      <c r="A524" s="3" t="s">
        <v>549</v>
      </c>
      <c r="B524" s="3" t="s">
        <v>20</v>
      </c>
      <c r="C524" s="5">
        <v>45094</v>
      </c>
      <c r="D524" s="5">
        <v>45105</v>
      </c>
      <c r="E524" s="3" t="s">
        <v>24</v>
      </c>
      <c r="F524" s="3" t="s">
        <v>35</v>
      </c>
      <c r="G524" s="3">
        <v>734</v>
      </c>
      <c r="H524" s="3">
        <v>92.38</v>
      </c>
      <c r="I524" s="3">
        <v>78.92</v>
      </c>
      <c r="J524" s="3">
        <v>34</v>
      </c>
      <c r="K524" s="3" t="s">
        <v>27</v>
      </c>
      <c r="L524" s="3">
        <f t="shared" si="32"/>
        <v>11</v>
      </c>
      <c r="M524" s="4">
        <f t="shared" si="33"/>
        <v>13.459999999999994</v>
      </c>
      <c r="N524" s="6">
        <f t="shared" si="34"/>
        <v>0.14570253301580421</v>
      </c>
      <c r="O524" s="4">
        <f t="shared" si="35"/>
        <v>9879.6399999999958</v>
      </c>
    </row>
    <row r="525" spans="1:15" x14ac:dyDescent="0.3">
      <c r="A525" s="3" t="s">
        <v>550</v>
      </c>
      <c r="B525" s="3" t="s">
        <v>12</v>
      </c>
      <c r="C525" s="5">
        <v>45113</v>
      </c>
      <c r="D525" s="5">
        <v>45125</v>
      </c>
      <c r="E525" s="3" t="s">
        <v>13</v>
      </c>
      <c r="F525" s="3" t="s">
        <v>18</v>
      </c>
      <c r="G525" s="3">
        <v>69</v>
      </c>
      <c r="H525" s="3">
        <v>107.47</v>
      </c>
      <c r="I525" s="3">
        <v>105.53</v>
      </c>
      <c r="J525" s="3"/>
      <c r="K525" s="3" t="s">
        <v>15</v>
      </c>
      <c r="L525" s="3">
        <f t="shared" si="32"/>
        <v>12</v>
      </c>
      <c r="M525" s="4">
        <f t="shared" si="33"/>
        <v>1.9399999999999977</v>
      </c>
      <c r="N525" s="6">
        <f t="shared" si="34"/>
        <v>1.805154926956358E-2</v>
      </c>
      <c r="O525" s="4">
        <f t="shared" si="35"/>
        <v>133.85999999999984</v>
      </c>
    </row>
    <row r="526" spans="1:15" x14ac:dyDescent="0.3">
      <c r="A526" s="3" t="s">
        <v>551</v>
      </c>
      <c r="B526" s="3" t="s">
        <v>17</v>
      </c>
      <c r="C526" s="5">
        <v>45265</v>
      </c>
      <c r="D526" s="5">
        <v>45271</v>
      </c>
      <c r="E526" s="3" t="s">
        <v>24</v>
      </c>
      <c r="F526" s="3" t="s">
        <v>18</v>
      </c>
      <c r="G526" s="3">
        <v>370</v>
      </c>
      <c r="H526" s="3">
        <v>63.9</v>
      </c>
      <c r="I526" s="3">
        <v>55.79</v>
      </c>
      <c r="J526" s="3">
        <v>59</v>
      </c>
      <c r="K526" s="3" t="s">
        <v>15</v>
      </c>
      <c r="L526" s="3">
        <f t="shared" si="32"/>
        <v>6</v>
      </c>
      <c r="M526" s="4">
        <f t="shared" si="33"/>
        <v>8.11</v>
      </c>
      <c r="N526" s="6">
        <f t="shared" si="34"/>
        <v>0.12691705790297339</v>
      </c>
      <c r="O526" s="4">
        <f t="shared" si="35"/>
        <v>3000.7</v>
      </c>
    </row>
    <row r="527" spans="1:15" x14ac:dyDescent="0.3">
      <c r="A527" s="3" t="s">
        <v>552</v>
      </c>
      <c r="B527" s="3" t="s">
        <v>17</v>
      </c>
      <c r="C527" s="5">
        <v>45248</v>
      </c>
      <c r="D527" s="5">
        <v>45263</v>
      </c>
      <c r="E527" s="3" t="s">
        <v>21</v>
      </c>
      <c r="F527" s="3" t="s">
        <v>18</v>
      </c>
      <c r="G527" s="3">
        <v>1849</v>
      </c>
      <c r="H527" s="3">
        <v>28.25</v>
      </c>
      <c r="I527" s="3">
        <v>27.53</v>
      </c>
      <c r="J527" s="3">
        <v>271</v>
      </c>
      <c r="K527" s="3" t="s">
        <v>15</v>
      </c>
      <c r="L527" s="3">
        <f t="shared" si="32"/>
        <v>15</v>
      </c>
      <c r="M527" s="4">
        <f t="shared" si="33"/>
        <v>0.71999999999999886</v>
      </c>
      <c r="N527" s="6">
        <f t="shared" si="34"/>
        <v>2.5486725663716774E-2</v>
      </c>
      <c r="O527" s="4">
        <f t="shared" si="35"/>
        <v>1331.2799999999979</v>
      </c>
    </row>
    <row r="528" spans="1:15" x14ac:dyDescent="0.3">
      <c r="A528" s="3" t="s">
        <v>553</v>
      </c>
      <c r="B528" s="3" t="s">
        <v>23</v>
      </c>
      <c r="C528" s="5">
        <v>44763</v>
      </c>
      <c r="D528" s="3"/>
      <c r="E528" s="3" t="s">
        <v>24</v>
      </c>
      <c r="F528" s="3" t="s">
        <v>18</v>
      </c>
      <c r="G528" s="3">
        <v>561</v>
      </c>
      <c r="H528" s="3">
        <v>35.54</v>
      </c>
      <c r="I528" s="3">
        <v>30.99</v>
      </c>
      <c r="J528" s="3">
        <v>68</v>
      </c>
      <c r="K528" s="3" t="s">
        <v>27</v>
      </c>
      <c r="L528" s="3" t="str">
        <f t="shared" si="32"/>
        <v/>
      </c>
      <c r="M528" s="4">
        <f t="shared" si="33"/>
        <v>4.5500000000000007</v>
      </c>
      <c r="N528" s="6">
        <f t="shared" si="34"/>
        <v>0.1280247608328644</v>
      </c>
      <c r="O528" s="4">
        <f t="shared" si="35"/>
        <v>2552.5500000000002</v>
      </c>
    </row>
    <row r="529" spans="1:15" x14ac:dyDescent="0.3">
      <c r="A529" s="3" t="s">
        <v>554</v>
      </c>
      <c r="B529" s="3" t="s">
        <v>20</v>
      </c>
      <c r="C529" s="5">
        <v>44934</v>
      </c>
      <c r="D529" s="5">
        <v>44940</v>
      </c>
      <c r="E529" s="3" t="s">
        <v>39</v>
      </c>
      <c r="F529" s="3" t="s">
        <v>18</v>
      </c>
      <c r="G529" s="3">
        <v>449</v>
      </c>
      <c r="H529" s="3">
        <v>12.35</v>
      </c>
      <c r="I529" s="3">
        <v>10.67</v>
      </c>
      <c r="J529" s="3">
        <v>29</v>
      </c>
      <c r="K529" s="3" t="s">
        <v>15</v>
      </c>
      <c r="L529" s="3">
        <f t="shared" si="32"/>
        <v>6</v>
      </c>
      <c r="M529" s="4">
        <f t="shared" si="33"/>
        <v>1.6799999999999997</v>
      </c>
      <c r="N529" s="6">
        <f t="shared" si="34"/>
        <v>0.13603238866396758</v>
      </c>
      <c r="O529" s="4">
        <f t="shared" si="35"/>
        <v>754.31999999999982</v>
      </c>
    </row>
    <row r="530" spans="1:15" x14ac:dyDescent="0.3">
      <c r="A530" s="3" t="s">
        <v>555</v>
      </c>
      <c r="B530" s="3" t="s">
        <v>23</v>
      </c>
      <c r="C530" s="5">
        <v>45003</v>
      </c>
      <c r="D530" s="5">
        <v>45006</v>
      </c>
      <c r="E530" s="3" t="s">
        <v>13</v>
      </c>
      <c r="F530" s="3" t="s">
        <v>18</v>
      </c>
      <c r="G530" s="3">
        <v>703</v>
      </c>
      <c r="H530" s="3">
        <v>98.75</v>
      </c>
      <c r="I530" s="3">
        <v>86.78</v>
      </c>
      <c r="J530" s="3">
        <v>59</v>
      </c>
      <c r="K530" s="3" t="s">
        <v>15</v>
      </c>
      <c r="L530" s="3">
        <f t="shared" si="32"/>
        <v>3</v>
      </c>
      <c r="M530" s="4">
        <f t="shared" si="33"/>
        <v>11.969999999999999</v>
      </c>
      <c r="N530" s="6">
        <f t="shared" si="34"/>
        <v>0.12121518987341771</v>
      </c>
      <c r="O530" s="4">
        <f t="shared" si="35"/>
        <v>8414.91</v>
      </c>
    </row>
    <row r="531" spans="1:15" x14ac:dyDescent="0.3">
      <c r="A531" s="3" t="s">
        <v>556</v>
      </c>
      <c r="B531" s="3" t="s">
        <v>20</v>
      </c>
      <c r="C531" s="5">
        <v>44633</v>
      </c>
      <c r="D531" s="5">
        <v>44648</v>
      </c>
      <c r="E531" s="3" t="s">
        <v>39</v>
      </c>
      <c r="F531" s="3" t="s">
        <v>18</v>
      </c>
      <c r="G531" s="3">
        <v>1021</v>
      </c>
      <c r="H531" s="3">
        <v>20.8</v>
      </c>
      <c r="I531" s="3">
        <v>18.23</v>
      </c>
      <c r="J531" s="3">
        <v>37</v>
      </c>
      <c r="K531" s="3" t="s">
        <v>15</v>
      </c>
      <c r="L531" s="3">
        <f t="shared" si="32"/>
        <v>15</v>
      </c>
      <c r="M531" s="4">
        <f t="shared" si="33"/>
        <v>2.5700000000000003</v>
      </c>
      <c r="N531" s="6">
        <f t="shared" si="34"/>
        <v>0.12355769230769231</v>
      </c>
      <c r="O531" s="4">
        <f t="shared" si="35"/>
        <v>2623.9700000000003</v>
      </c>
    </row>
    <row r="532" spans="1:15" x14ac:dyDescent="0.3">
      <c r="A532" s="3" t="s">
        <v>557</v>
      </c>
      <c r="B532" s="3" t="s">
        <v>23</v>
      </c>
      <c r="C532" s="5">
        <v>45242</v>
      </c>
      <c r="D532" s="5">
        <v>45249</v>
      </c>
      <c r="E532" s="3" t="s">
        <v>13</v>
      </c>
      <c r="F532" s="3" t="s">
        <v>18</v>
      </c>
      <c r="G532" s="3">
        <v>1956</v>
      </c>
      <c r="H532" s="3">
        <v>68.69</v>
      </c>
      <c r="I532" s="3">
        <v>65.09</v>
      </c>
      <c r="J532" s="3"/>
      <c r="K532" s="3" t="s">
        <v>15</v>
      </c>
      <c r="L532" s="3">
        <f t="shared" si="32"/>
        <v>7</v>
      </c>
      <c r="M532" s="4">
        <f t="shared" si="33"/>
        <v>3.5999999999999943</v>
      </c>
      <c r="N532" s="6">
        <f t="shared" si="34"/>
        <v>5.2409375454942411E-2</v>
      </c>
      <c r="O532" s="4">
        <f t="shared" si="35"/>
        <v>7041.5999999999885</v>
      </c>
    </row>
    <row r="533" spans="1:15" x14ac:dyDescent="0.3">
      <c r="A533" s="3" t="s">
        <v>558</v>
      </c>
      <c r="B533" s="3" t="s">
        <v>17</v>
      </c>
      <c r="C533" s="5">
        <v>44900</v>
      </c>
      <c r="D533" s="5">
        <v>44907</v>
      </c>
      <c r="E533" s="3" t="s">
        <v>13</v>
      </c>
      <c r="F533" s="3" t="s">
        <v>33</v>
      </c>
      <c r="G533" s="3">
        <v>520</v>
      </c>
      <c r="H533" s="3">
        <v>36.57</v>
      </c>
      <c r="I533" s="3">
        <v>34.78</v>
      </c>
      <c r="J533" s="3">
        <v>67</v>
      </c>
      <c r="K533" s="3" t="s">
        <v>27</v>
      </c>
      <c r="L533" s="3">
        <f t="shared" si="32"/>
        <v>7</v>
      </c>
      <c r="M533" s="4">
        <f t="shared" si="33"/>
        <v>1.7899999999999991</v>
      </c>
      <c r="N533" s="6">
        <f t="shared" si="34"/>
        <v>4.8947224500957044E-2</v>
      </c>
      <c r="O533" s="4">
        <f t="shared" si="35"/>
        <v>930.7999999999995</v>
      </c>
    </row>
    <row r="534" spans="1:15" x14ac:dyDescent="0.3">
      <c r="A534" s="3" t="s">
        <v>559</v>
      </c>
      <c r="B534" s="3" t="s">
        <v>17</v>
      </c>
      <c r="C534" s="5">
        <v>45200</v>
      </c>
      <c r="D534" s="5">
        <v>45211</v>
      </c>
      <c r="E534" s="3" t="s">
        <v>21</v>
      </c>
      <c r="F534" s="3" t="s">
        <v>18</v>
      </c>
      <c r="G534" s="3">
        <v>1216</v>
      </c>
      <c r="H534" s="3">
        <v>66.16</v>
      </c>
      <c r="I534" s="3">
        <v>63</v>
      </c>
      <c r="J534" s="3">
        <v>179</v>
      </c>
      <c r="K534" s="3" t="s">
        <v>27</v>
      </c>
      <c r="L534" s="3">
        <f t="shared" si="32"/>
        <v>11</v>
      </c>
      <c r="M534" s="4">
        <f t="shared" si="33"/>
        <v>3.1599999999999966</v>
      </c>
      <c r="N534" s="6">
        <f t="shared" si="34"/>
        <v>4.7762998790810106E-2</v>
      </c>
      <c r="O534" s="4">
        <f t="shared" si="35"/>
        <v>3842.5599999999959</v>
      </c>
    </row>
    <row r="535" spans="1:15" x14ac:dyDescent="0.3">
      <c r="A535" s="3" t="s">
        <v>560</v>
      </c>
      <c r="B535" s="3" t="s">
        <v>12</v>
      </c>
      <c r="C535" s="5">
        <v>44883</v>
      </c>
      <c r="D535" s="3"/>
      <c r="E535" s="3" t="s">
        <v>26</v>
      </c>
      <c r="F535" s="3" t="s">
        <v>18</v>
      </c>
      <c r="G535" s="3">
        <v>1165</v>
      </c>
      <c r="H535" s="3">
        <v>72.06</v>
      </c>
      <c r="I535" s="3">
        <v>63.93</v>
      </c>
      <c r="J535" s="3"/>
      <c r="K535" s="3" t="s">
        <v>15</v>
      </c>
      <c r="L535" s="3" t="str">
        <f t="shared" si="32"/>
        <v/>
      </c>
      <c r="M535" s="4">
        <f t="shared" si="33"/>
        <v>8.1300000000000026</v>
      </c>
      <c r="N535" s="6">
        <f t="shared" si="34"/>
        <v>0.11282264779350544</v>
      </c>
      <c r="O535" s="4">
        <f t="shared" si="35"/>
        <v>9471.4500000000025</v>
      </c>
    </row>
    <row r="536" spans="1:15" x14ac:dyDescent="0.3">
      <c r="A536" s="3" t="s">
        <v>561</v>
      </c>
      <c r="B536" s="3" t="s">
        <v>17</v>
      </c>
      <c r="C536" s="5">
        <v>45241</v>
      </c>
      <c r="D536" s="5">
        <v>45259</v>
      </c>
      <c r="E536" s="3" t="s">
        <v>24</v>
      </c>
      <c r="F536" s="3" t="s">
        <v>35</v>
      </c>
      <c r="G536" s="3">
        <v>1427</v>
      </c>
      <c r="H536" s="3">
        <v>93.99</v>
      </c>
      <c r="I536" s="3">
        <v>83.6</v>
      </c>
      <c r="J536" s="3">
        <v>213</v>
      </c>
      <c r="K536" s="3" t="s">
        <v>15</v>
      </c>
      <c r="L536" s="3">
        <f t="shared" si="32"/>
        <v>18</v>
      </c>
      <c r="M536" s="4">
        <f t="shared" si="33"/>
        <v>10.39</v>
      </c>
      <c r="N536" s="6">
        <f t="shared" si="34"/>
        <v>0.11054367485902757</v>
      </c>
      <c r="O536" s="4">
        <f t="shared" si="35"/>
        <v>14826.53</v>
      </c>
    </row>
    <row r="537" spans="1:15" x14ac:dyDescent="0.3">
      <c r="A537" s="3" t="s">
        <v>562</v>
      </c>
      <c r="B537" s="3" t="s">
        <v>29</v>
      </c>
      <c r="C537" s="5">
        <v>44689</v>
      </c>
      <c r="D537" s="5">
        <v>44691</v>
      </c>
      <c r="E537" s="3" t="s">
        <v>39</v>
      </c>
      <c r="F537" s="3" t="s">
        <v>18</v>
      </c>
      <c r="G537" s="3">
        <v>883</v>
      </c>
      <c r="H537" s="3">
        <v>29.15</v>
      </c>
      <c r="I537" s="3">
        <v>25.75</v>
      </c>
      <c r="J537" s="3">
        <v>14</v>
      </c>
      <c r="K537" s="3" t="s">
        <v>15</v>
      </c>
      <c r="L537" s="3">
        <f t="shared" si="32"/>
        <v>2</v>
      </c>
      <c r="M537" s="4">
        <f t="shared" si="33"/>
        <v>3.3999999999999986</v>
      </c>
      <c r="N537" s="6">
        <f t="shared" si="34"/>
        <v>0.1166380789022298</v>
      </c>
      <c r="O537" s="4">
        <f t="shared" si="35"/>
        <v>3002.1999999999989</v>
      </c>
    </row>
    <row r="538" spans="1:15" x14ac:dyDescent="0.3">
      <c r="A538" s="3" t="s">
        <v>563</v>
      </c>
      <c r="B538" s="3" t="s">
        <v>17</v>
      </c>
      <c r="C538" s="5">
        <v>44869</v>
      </c>
      <c r="D538" s="5">
        <v>44876</v>
      </c>
      <c r="E538" s="3" t="s">
        <v>24</v>
      </c>
      <c r="F538" s="3" t="s">
        <v>33</v>
      </c>
      <c r="G538" s="3">
        <v>1873</v>
      </c>
      <c r="H538" s="3">
        <v>11.54</v>
      </c>
      <c r="I538" s="3">
        <v>9.89</v>
      </c>
      <c r="J538" s="3">
        <v>284</v>
      </c>
      <c r="K538" s="3" t="s">
        <v>27</v>
      </c>
      <c r="L538" s="3">
        <f t="shared" si="32"/>
        <v>7</v>
      </c>
      <c r="M538" s="4">
        <f t="shared" si="33"/>
        <v>1.6499999999999986</v>
      </c>
      <c r="N538" s="6">
        <f t="shared" si="34"/>
        <v>0.14298093587521651</v>
      </c>
      <c r="O538" s="4">
        <f t="shared" si="35"/>
        <v>3090.4499999999975</v>
      </c>
    </row>
    <row r="539" spans="1:15" x14ac:dyDescent="0.3">
      <c r="A539" s="3" t="s">
        <v>564</v>
      </c>
      <c r="B539" s="3" t="s">
        <v>29</v>
      </c>
      <c r="C539" s="5">
        <v>45081</v>
      </c>
      <c r="D539" s="5">
        <v>45083</v>
      </c>
      <c r="E539" s="3" t="s">
        <v>13</v>
      </c>
      <c r="F539" s="3" t="s">
        <v>18</v>
      </c>
      <c r="G539" s="3">
        <v>776</v>
      </c>
      <c r="H539" s="3">
        <v>24.22</v>
      </c>
      <c r="I539" s="3">
        <v>22.53</v>
      </c>
      <c r="J539" s="3">
        <v>27</v>
      </c>
      <c r="K539" s="3" t="s">
        <v>15</v>
      </c>
      <c r="L539" s="3">
        <f t="shared" si="32"/>
        <v>2</v>
      </c>
      <c r="M539" s="4">
        <f t="shared" si="33"/>
        <v>1.6899999999999977</v>
      </c>
      <c r="N539" s="6">
        <f t="shared" si="34"/>
        <v>6.9777043765482979E-2</v>
      </c>
      <c r="O539" s="4">
        <f t="shared" si="35"/>
        <v>1311.4399999999982</v>
      </c>
    </row>
    <row r="540" spans="1:15" x14ac:dyDescent="0.3">
      <c r="A540" s="3" t="s">
        <v>565</v>
      </c>
      <c r="B540" s="3" t="s">
        <v>17</v>
      </c>
      <c r="C540" s="5">
        <v>44878</v>
      </c>
      <c r="D540" s="5">
        <v>44889</v>
      </c>
      <c r="E540" s="3" t="s">
        <v>39</v>
      </c>
      <c r="F540" s="3" t="s">
        <v>18</v>
      </c>
      <c r="G540" s="3">
        <v>903</v>
      </c>
      <c r="H540" s="3">
        <v>95.55</v>
      </c>
      <c r="I540" s="3">
        <v>92.45</v>
      </c>
      <c r="J540" s="3">
        <v>149</v>
      </c>
      <c r="K540" s="3" t="s">
        <v>27</v>
      </c>
      <c r="L540" s="3">
        <f t="shared" si="32"/>
        <v>11</v>
      </c>
      <c r="M540" s="4">
        <f t="shared" si="33"/>
        <v>3.0999999999999943</v>
      </c>
      <c r="N540" s="6">
        <f t="shared" si="34"/>
        <v>3.2443746729460959E-2</v>
      </c>
      <c r="O540" s="4">
        <f t="shared" si="35"/>
        <v>2799.2999999999947</v>
      </c>
    </row>
    <row r="541" spans="1:15" x14ac:dyDescent="0.3">
      <c r="A541" s="3" t="s">
        <v>566</v>
      </c>
      <c r="B541" s="3" t="s">
        <v>29</v>
      </c>
      <c r="C541" s="5">
        <v>45244</v>
      </c>
      <c r="D541" s="5">
        <v>45256</v>
      </c>
      <c r="E541" s="3" t="s">
        <v>39</v>
      </c>
      <c r="F541" s="3" t="s">
        <v>18</v>
      </c>
      <c r="G541" s="3">
        <v>100</v>
      </c>
      <c r="H541" s="3">
        <v>98.4</v>
      </c>
      <c r="I541" s="3">
        <v>85.76</v>
      </c>
      <c r="J541" s="3">
        <v>3</v>
      </c>
      <c r="K541" s="3" t="s">
        <v>15</v>
      </c>
      <c r="L541" s="3">
        <f t="shared" si="32"/>
        <v>12</v>
      </c>
      <c r="M541" s="4">
        <f t="shared" si="33"/>
        <v>12.64</v>
      </c>
      <c r="N541" s="6">
        <f t="shared" si="34"/>
        <v>0.12845528455284552</v>
      </c>
      <c r="O541" s="4">
        <f t="shared" si="35"/>
        <v>1264</v>
      </c>
    </row>
    <row r="542" spans="1:15" x14ac:dyDescent="0.3">
      <c r="A542" s="3" t="s">
        <v>567</v>
      </c>
      <c r="B542" s="3" t="s">
        <v>29</v>
      </c>
      <c r="C542" s="5">
        <v>44980</v>
      </c>
      <c r="D542" s="5">
        <v>44993</v>
      </c>
      <c r="E542" s="3" t="s">
        <v>13</v>
      </c>
      <c r="F542" s="3" t="s">
        <v>18</v>
      </c>
      <c r="G542" s="3">
        <v>1738</v>
      </c>
      <c r="H542" s="3">
        <v>67.91</v>
      </c>
      <c r="I542" s="3">
        <v>61.15</v>
      </c>
      <c r="J542" s="3"/>
      <c r="K542" s="3" t="s">
        <v>15</v>
      </c>
      <c r="L542" s="3">
        <f t="shared" si="32"/>
        <v>13</v>
      </c>
      <c r="M542" s="4">
        <f t="shared" si="33"/>
        <v>6.759999999999998</v>
      </c>
      <c r="N542" s="6">
        <f t="shared" si="34"/>
        <v>9.9543513473715192E-2</v>
      </c>
      <c r="O542" s="4">
        <f t="shared" si="35"/>
        <v>11748.879999999997</v>
      </c>
    </row>
    <row r="543" spans="1:15" x14ac:dyDescent="0.3">
      <c r="A543" s="3" t="s">
        <v>568</v>
      </c>
      <c r="B543" s="3" t="s">
        <v>17</v>
      </c>
      <c r="C543" s="5">
        <v>44896</v>
      </c>
      <c r="D543" s="5">
        <v>44909</v>
      </c>
      <c r="E543" s="3" t="s">
        <v>24</v>
      </c>
      <c r="F543" s="3" t="s">
        <v>18</v>
      </c>
      <c r="G543" s="3">
        <v>1771</v>
      </c>
      <c r="H543" s="3">
        <v>67.569999999999993</v>
      </c>
      <c r="I543" s="3">
        <v>61.48</v>
      </c>
      <c r="J543" s="3">
        <v>280</v>
      </c>
      <c r="K543" s="3" t="s">
        <v>27</v>
      </c>
      <c r="L543" s="3">
        <f t="shared" si="32"/>
        <v>13</v>
      </c>
      <c r="M543" s="4">
        <f t="shared" si="33"/>
        <v>6.0899999999999963</v>
      </c>
      <c r="N543" s="6">
        <f t="shared" si="34"/>
        <v>9.0128755364806815E-2</v>
      </c>
      <c r="O543" s="4">
        <f t="shared" si="35"/>
        <v>10785.389999999994</v>
      </c>
    </row>
    <row r="544" spans="1:15" x14ac:dyDescent="0.3">
      <c r="A544" s="3" t="s">
        <v>569</v>
      </c>
      <c r="B544" s="3" t="s">
        <v>29</v>
      </c>
      <c r="C544" s="5">
        <v>44974</v>
      </c>
      <c r="D544" s="5">
        <v>44980</v>
      </c>
      <c r="E544" s="3" t="s">
        <v>39</v>
      </c>
      <c r="F544" s="3" t="s">
        <v>18</v>
      </c>
      <c r="G544" s="3">
        <v>624</v>
      </c>
      <c r="H544" s="3">
        <v>74.39</v>
      </c>
      <c r="I544" s="3">
        <v>66.3</v>
      </c>
      <c r="J544" s="3">
        <v>18</v>
      </c>
      <c r="K544" s="3" t="s">
        <v>27</v>
      </c>
      <c r="L544" s="3">
        <f t="shared" si="32"/>
        <v>6</v>
      </c>
      <c r="M544" s="4">
        <f t="shared" si="33"/>
        <v>8.0900000000000034</v>
      </c>
      <c r="N544" s="6">
        <f t="shared" si="34"/>
        <v>0.10875117623336475</v>
      </c>
      <c r="O544" s="4">
        <f t="shared" si="35"/>
        <v>5048.1600000000017</v>
      </c>
    </row>
    <row r="545" spans="1:15" x14ac:dyDescent="0.3">
      <c r="A545" s="3" t="s">
        <v>570</v>
      </c>
      <c r="B545" s="3" t="s">
        <v>12</v>
      </c>
      <c r="C545" s="5">
        <v>45275</v>
      </c>
      <c r="D545" s="5">
        <v>45291</v>
      </c>
      <c r="E545" s="3" t="s">
        <v>24</v>
      </c>
      <c r="F545" s="3" t="s">
        <v>33</v>
      </c>
      <c r="G545" s="3">
        <v>1263</v>
      </c>
      <c r="H545" s="3">
        <v>28.75</v>
      </c>
      <c r="I545" s="3">
        <v>27.1</v>
      </c>
      <c r="J545" s="3">
        <v>26</v>
      </c>
      <c r="K545" s="3" t="s">
        <v>15</v>
      </c>
      <c r="L545" s="3">
        <f t="shared" si="32"/>
        <v>16</v>
      </c>
      <c r="M545" s="4">
        <f t="shared" si="33"/>
        <v>1.6499999999999986</v>
      </c>
      <c r="N545" s="6">
        <f t="shared" si="34"/>
        <v>5.7391304347826036E-2</v>
      </c>
      <c r="O545" s="4">
        <f t="shared" si="35"/>
        <v>2083.949999999998</v>
      </c>
    </row>
    <row r="546" spans="1:15" x14ac:dyDescent="0.3">
      <c r="A546" s="3" t="s">
        <v>571</v>
      </c>
      <c r="B546" s="3" t="s">
        <v>20</v>
      </c>
      <c r="C546" s="5">
        <v>44864</v>
      </c>
      <c r="D546" s="5">
        <v>44881</v>
      </c>
      <c r="E546" s="3" t="s">
        <v>39</v>
      </c>
      <c r="F546" s="3" t="s">
        <v>14</v>
      </c>
      <c r="G546" s="3">
        <v>1198</v>
      </c>
      <c r="H546" s="3">
        <v>96.45</v>
      </c>
      <c r="I546" s="3">
        <v>90.09</v>
      </c>
      <c r="J546" s="3"/>
      <c r="K546" s="3" t="s">
        <v>15</v>
      </c>
      <c r="L546" s="3">
        <f t="shared" si="32"/>
        <v>17</v>
      </c>
      <c r="M546" s="4">
        <f t="shared" si="33"/>
        <v>6.3599999999999994</v>
      </c>
      <c r="N546" s="6">
        <f t="shared" si="34"/>
        <v>6.5940902021772926E-2</v>
      </c>
      <c r="O546" s="4">
        <f t="shared" si="35"/>
        <v>7619.28</v>
      </c>
    </row>
    <row r="547" spans="1:15" x14ac:dyDescent="0.3">
      <c r="A547" s="3" t="s">
        <v>572</v>
      </c>
      <c r="B547" s="3" t="s">
        <v>29</v>
      </c>
      <c r="C547" s="5">
        <v>45129</v>
      </c>
      <c r="D547" s="5">
        <v>45132</v>
      </c>
      <c r="E547" s="3" t="s">
        <v>26</v>
      </c>
      <c r="F547" s="3" t="s">
        <v>18</v>
      </c>
      <c r="G547" s="3">
        <v>199</v>
      </c>
      <c r="H547" s="3">
        <v>51.98</v>
      </c>
      <c r="I547" s="3">
        <v>45.64</v>
      </c>
      <c r="J547" s="3"/>
      <c r="K547" s="3" t="s">
        <v>27</v>
      </c>
      <c r="L547" s="3">
        <f t="shared" si="32"/>
        <v>3</v>
      </c>
      <c r="M547" s="4">
        <f t="shared" si="33"/>
        <v>6.3399999999999963</v>
      </c>
      <c r="N547" s="6">
        <f t="shared" si="34"/>
        <v>0.12196998845709882</v>
      </c>
      <c r="O547" s="4">
        <f t="shared" si="35"/>
        <v>1261.6599999999992</v>
      </c>
    </row>
    <row r="548" spans="1:15" x14ac:dyDescent="0.3">
      <c r="A548" s="3" t="s">
        <v>573</v>
      </c>
      <c r="B548" s="3" t="s">
        <v>29</v>
      </c>
      <c r="C548" s="5">
        <v>44692</v>
      </c>
      <c r="D548" s="5">
        <v>44695</v>
      </c>
      <c r="E548" s="3" t="s">
        <v>21</v>
      </c>
      <c r="F548" s="3" t="s">
        <v>35</v>
      </c>
      <c r="G548" s="3">
        <v>363</v>
      </c>
      <c r="H548" s="3">
        <v>45.37</v>
      </c>
      <c r="I548" s="3">
        <v>38.729999999999997</v>
      </c>
      <c r="J548" s="3"/>
      <c r="K548" s="3" t="s">
        <v>15</v>
      </c>
      <c r="L548" s="3">
        <f t="shared" si="32"/>
        <v>3</v>
      </c>
      <c r="M548" s="4">
        <f t="shared" si="33"/>
        <v>6.6400000000000006</v>
      </c>
      <c r="N548" s="6">
        <f t="shared" si="34"/>
        <v>0.14635221512012345</v>
      </c>
      <c r="O548" s="4">
        <f t="shared" si="35"/>
        <v>2410.3200000000002</v>
      </c>
    </row>
    <row r="549" spans="1:15" x14ac:dyDescent="0.3">
      <c r="A549" s="3" t="s">
        <v>574</v>
      </c>
      <c r="B549" s="3" t="s">
        <v>12</v>
      </c>
      <c r="C549" s="5">
        <v>44758</v>
      </c>
      <c r="D549" s="5">
        <v>44764</v>
      </c>
      <c r="E549" s="3" t="s">
        <v>13</v>
      </c>
      <c r="F549" s="3" t="s">
        <v>18</v>
      </c>
      <c r="G549" s="3">
        <v>619</v>
      </c>
      <c r="H549" s="3">
        <v>58.4</v>
      </c>
      <c r="I549" s="3">
        <v>51.04</v>
      </c>
      <c r="J549" s="3"/>
      <c r="K549" s="3" t="s">
        <v>15</v>
      </c>
      <c r="L549" s="3">
        <f t="shared" si="32"/>
        <v>6</v>
      </c>
      <c r="M549" s="4">
        <f t="shared" si="33"/>
        <v>7.3599999999999994</v>
      </c>
      <c r="N549" s="6">
        <f t="shared" si="34"/>
        <v>0.12602739726027395</v>
      </c>
      <c r="O549" s="4">
        <f t="shared" si="35"/>
        <v>4555.8399999999992</v>
      </c>
    </row>
    <row r="550" spans="1:15" x14ac:dyDescent="0.3">
      <c r="A550" s="3" t="s">
        <v>575</v>
      </c>
      <c r="B550" s="3" t="s">
        <v>12</v>
      </c>
      <c r="C550" s="5">
        <v>44992</v>
      </c>
      <c r="D550" s="5">
        <v>45003</v>
      </c>
      <c r="E550" s="3" t="s">
        <v>21</v>
      </c>
      <c r="F550" s="3" t="s">
        <v>18</v>
      </c>
      <c r="G550" s="3">
        <v>1415</v>
      </c>
      <c r="H550" s="3">
        <v>15.22</v>
      </c>
      <c r="I550" s="3">
        <v>13.56</v>
      </c>
      <c r="J550" s="3">
        <v>30</v>
      </c>
      <c r="K550" s="3" t="s">
        <v>15</v>
      </c>
      <c r="L550" s="3">
        <f t="shared" si="32"/>
        <v>11</v>
      </c>
      <c r="M550" s="4">
        <f t="shared" si="33"/>
        <v>1.6600000000000001</v>
      </c>
      <c r="N550" s="6">
        <f t="shared" si="34"/>
        <v>0.10906701708278581</v>
      </c>
      <c r="O550" s="4">
        <f t="shared" si="35"/>
        <v>2348.9</v>
      </c>
    </row>
    <row r="551" spans="1:15" x14ac:dyDescent="0.3">
      <c r="A551" s="3" t="s">
        <v>576</v>
      </c>
      <c r="B551" s="3" t="s">
        <v>23</v>
      </c>
      <c r="C551" s="5">
        <v>45242</v>
      </c>
      <c r="D551" s="5">
        <v>45253</v>
      </c>
      <c r="E551" s="3" t="s">
        <v>24</v>
      </c>
      <c r="F551" s="3" t="s">
        <v>18</v>
      </c>
      <c r="G551" s="3">
        <v>354</v>
      </c>
      <c r="H551" s="3">
        <v>27.71</v>
      </c>
      <c r="I551" s="3">
        <v>23.87</v>
      </c>
      <c r="J551" s="3">
        <v>39</v>
      </c>
      <c r="K551" s="3" t="s">
        <v>27</v>
      </c>
      <c r="L551" s="3">
        <f t="shared" si="32"/>
        <v>11</v>
      </c>
      <c r="M551" s="4">
        <f t="shared" si="33"/>
        <v>3.84</v>
      </c>
      <c r="N551" s="6">
        <f t="shared" si="34"/>
        <v>0.13857813063875857</v>
      </c>
      <c r="O551" s="4">
        <f t="shared" si="35"/>
        <v>1359.36</v>
      </c>
    </row>
    <row r="552" spans="1:15" x14ac:dyDescent="0.3">
      <c r="A552" s="3" t="s">
        <v>577</v>
      </c>
      <c r="B552" s="3" t="s">
        <v>20</v>
      </c>
      <c r="C552" s="5">
        <v>44950</v>
      </c>
      <c r="D552" s="5">
        <v>44960</v>
      </c>
      <c r="E552" s="3" t="s">
        <v>21</v>
      </c>
      <c r="F552" s="3" t="s">
        <v>18</v>
      </c>
      <c r="G552" s="3">
        <v>1765</v>
      </c>
      <c r="H552" s="3">
        <v>81.010000000000005</v>
      </c>
      <c r="I552" s="3">
        <v>78.430000000000007</v>
      </c>
      <c r="J552" s="3">
        <v>78</v>
      </c>
      <c r="K552" s="3" t="s">
        <v>15</v>
      </c>
      <c r="L552" s="3">
        <f t="shared" si="32"/>
        <v>10</v>
      </c>
      <c r="M552" s="4">
        <f t="shared" si="33"/>
        <v>2.5799999999999983</v>
      </c>
      <c r="N552" s="6">
        <f t="shared" si="34"/>
        <v>3.1847920009875304E-2</v>
      </c>
      <c r="O552" s="4">
        <f t="shared" si="35"/>
        <v>4553.6999999999971</v>
      </c>
    </row>
    <row r="553" spans="1:15" x14ac:dyDescent="0.3">
      <c r="A553" s="3" t="s">
        <v>578</v>
      </c>
      <c r="B553" s="3" t="s">
        <v>23</v>
      </c>
      <c r="C553" s="5">
        <v>45255</v>
      </c>
      <c r="D553" s="5">
        <v>45269</v>
      </c>
      <c r="E553" s="3" t="s">
        <v>21</v>
      </c>
      <c r="F553" s="3" t="s">
        <v>18</v>
      </c>
      <c r="G553" s="3">
        <v>731</v>
      </c>
      <c r="H553" s="3">
        <v>19.37</v>
      </c>
      <c r="I553" s="3">
        <v>17.3</v>
      </c>
      <c r="J553" s="3">
        <v>69</v>
      </c>
      <c r="K553" s="3" t="s">
        <v>27</v>
      </c>
      <c r="L553" s="3">
        <f t="shared" si="32"/>
        <v>14</v>
      </c>
      <c r="M553" s="4">
        <f t="shared" si="33"/>
        <v>2.0700000000000003</v>
      </c>
      <c r="N553" s="6">
        <f t="shared" si="34"/>
        <v>0.10686628807434177</v>
      </c>
      <c r="O553" s="4">
        <f t="shared" si="35"/>
        <v>1513.1700000000003</v>
      </c>
    </row>
    <row r="554" spans="1:15" x14ac:dyDescent="0.3">
      <c r="A554" s="3" t="s">
        <v>579</v>
      </c>
      <c r="B554" s="3" t="s">
        <v>29</v>
      </c>
      <c r="C554" s="5">
        <v>44740</v>
      </c>
      <c r="D554" s="5">
        <v>44755</v>
      </c>
      <c r="E554" s="3" t="s">
        <v>21</v>
      </c>
      <c r="F554" s="3" t="s">
        <v>18</v>
      </c>
      <c r="G554" s="3">
        <v>887</v>
      </c>
      <c r="H554" s="3">
        <v>65.89</v>
      </c>
      <c r="I554" s="3">
        <v>59.67</v>
      </c>
      <c r="J554" s="3">
        <v>29</v>
      </c>
      <c r="K554" s="3" t="s">
        <v>15</v>
      </c>
      <c r="L554" s="3">
        <f t="shared" si="32"/>
        <v>15</v>
      </c>
      <c r="M554" s="4">
        <f t="shared" si="33"/>
        <v>6.2199999999999989</v>
      </c>
      <c r="N554" s="6">
        <f t="shared" si="34"/>
        <v>9.4399757171042625E-2</v>
      </c>
      <c r="O554" s="4">
        <f t="shared" si="35"/>
        <v>5517.1399999999994</v>
      </c>
    </row>
    <row r="555" spans="1:15" x14ac:dyDescent="0.3">
      <c r="A555" s="3" t="s">
        <v>580</v>
      </c>
      <c r="B555" s="3" t="s">
        <v>12</v>
      </c>
      <c r="C555" s="5">
        <v>45192</v>
      </c>
      <c r="D555" s="5">
        <v>45194</v>
      </c>
      <c r="E555" s="3" t="s">
        <v>21</v>
      </c>
      <c r="F555" s="3" t="s">
        <v>18</v>
      </c>
      <c r="G555" s="3">
        <v>1856</v>
      </c>
      <c r="H555" s="3">
        <v>35.29</v>
      </c>
      <c r="I555" s="3">
        <v>32.409999999999997</v>
      </c>
      <c r="J555" s="3">
        <v>26</v>
      </c>
      <c r="K555" s="3" t="s">
        <v>15</v>
      </c>
      <c r="L555" s="3">
        <f t="shared" si="32"/>
        <v>2</v>
      </c>
      <c r="M555" s="4">
        <f t="shared" si="33"/>
        <v>2.8800000000000026</v>
      </c>
      <c r="N555" s="6">
        <f t="shared" si="34"/>
        <v>8.1609521110796335E-2</v>
      </c>
      <c r="O555" s="4">
        <f t="shared" si="35"/>
        <v>5345.2800000000043</v>
      </c>
    </row>
    <row r="556" spans="1:15" x14ac:dyDescent="0.3">
      <c r="A556" s="3" t="s">
        <v>581</v>
      </c>
      <c r="B556" s="3" t="s">
        <v>29</v>
      </c>
      <c r="C556" s="5">
        <v>45144</v>
      </c>
      <c r="D556" s="5">
        <v>45156</v>
      </c>
      <c r="E556" s="3" t="s">
        <v>13</v>
      </c>
      <c r="F556" s="3" t="s">
        <v>18</v>
      </c>
      <c r="G556" s="3">
        <v>1127</v>
      </c>
      <c r="H556" s="3">
        <v>49.32</v>
      </c>
      <c r="I556" s="3">
        <v>46.49</v>
      </c>
      <c r="J556" s="3">
        <v>30</v>
      </c>
      <c r="K556" s="3" t="s">
        <v>15</v>
      </c>
      <c r="L556" s="3">
        <f t="shared" si="32"/>
        <v>12</v>
      </c>
      <c r="M556" s="4">
        <f t="shared" si="33"/>
        <v>2.8299999999999983</v>
      </c>
      <c r="N556" s="6">
        <f t="shared" si="34"/>
        <v>5.7380373073803698E-2</v>
      </c>
      <c r="O556" s="4">
        <f t="shared" si="35"/>
        <v>3189.409999999998</v>
      </c>
    </row>
    <row r="557" spans="1:15" x14ac:dyDescent="0.3">
      <c r="A557" s="3" t="s">
        <v>582</v>
      </c>
      <c r="B557" s="3" t="s">
        <v>17</v>
      </c>
      <c r="C557" s="5">
        <v>44870</v>
      </c>
      <c r="D557" s="5">
        <v>44884</v>
      </c>
      <c r="E557" s="3" t="s">
        <v>26</v>
      </c>
      <c r="F557" s="3" t="s">
        <v>18</v>
      </c>
      <c r="G557" s="3">
        <v>1052</v>
      </c>
      <c r="H557" s="3">
        <v>37.78</v>
      </c>
      <c r="I557" s="3">
        <v>32.6</v>
      </c>
      <c r="J557" s="3">
        <v>162</v>
      </c>
      <c r="K557" s="3" t="s">
        <v>15</v>
      </c>
      <c r="L557" s="3">
        <f t="shared" si="32"/>
        <v>14</v>
      </c>
      <c r="M557" s="4">
        <f t="shared" si="33"/>
        <v>5.18</v>
      </c>
      <c r="N557" s="6">
        <f t="shared" si="34"/>
        <v>0.13710958178930649</v>
      </c>
      <c r="O557" s="4">
        <f t="shared" si="35"/>
        <v>5449.36</v>
      </c>
    </row>
    <row r="558" spans="1:15" x14ac:dyDescent="0.3">
      <c r="A558" s="3" t="s">
        <v>583</v>
      </c>
      <c r="B558" s="3" t="s">
        <v>20</v>
      </c>
      <c r="C558" s="5">
        <v>44977</v>
      </c>
      <c r="D558" s="5">
        <v>44979</v>
      </c>
      <c r="E558" s="3" t="s">
        <v>26</v>
      </c>
      <c r="F558" s="3" t="s">
        <v>18</v>
      </c>
      <c r="G558" s="3">
        <v>493</v>
      </c>
      <c r="H558" s="3">
        <v>44.74</v>
      </c>
      <c r="I558" s="3">
        <v>41.44</v>
      </c>
      <c r="J558" s="3">
        <v>24</v>
      </c>
      <c r="K558" s="3" t="s">
        <v>27</v>
      </c>
      <c r="L558" s="3">
        <f t="shared" si="32"/>
        <v>2</v>
      </c>
      <c r="M558" s="4">
        <f t="shared" si="33"/>
        <v>3.3000000000000043</v>
      </c>
      <c r="N558" s="6">
        <f t="shared" si="34"/>
        <v>7.3759499329459188E-2</v>
      </c>
      <c r="O558" s="4">
        <f t="shared" si="35"/>
        <v>1626.9000000000021</v>
      </c>
    </row>
    <row r="559" spans="1:15" x14ac:dyDescent="0.3">
      <c r="A559" s="3" t="s">
        <v>584</v>
      </c>
      <c r="B559" s="3" t="s">
        <v>17</v>
      </c>
      <c r="C559" s="5">
        <v>45123</v>
      </c>
      <c r="D559" s="5">
        <v>45136</v>
      </c>
      <c r="E559" s="3" t="s">
        <v>21</v>
      </c>
      <c r="F559" s="3" t="s">
        <v>33</v>
      </c>
      <c r="G559" s="3">
        <v>662</v>
      </c>
      <c r="H559" s="3">
        <v>81.44</v>
      </c>
      <c r="I559" s="3">
        <v>71.33</v>
      </c>
      <c r="J559" s="3">
        <v>87</v>
      </c>
      <c r="K559" s="3" t="s">
        <v>15</v>
      </c>
      <c r="L559" s="3">
        <f t="shared" si="32"/>
        <v>13</v>
      </c>
      <c r="M559" s="4">
        <f t="shared" si="33"/>
        <v>10.11</v>
      </c>
      <c r="N559" s="6">
        <f t="shared" si="34"/>
        <v>0.12414047151277013</v>
      </c>
      <c r="O559" s="4">
        <f t="shared" si="35"/>
        <v>6692.82</v>
      </c>
    </row>
    <row r="560" spans="1:15" x14ac:dyDescent="0.3">
      <c r="A560" s="3" t="s">
        <v>585</v>
      </c>
      <c r="B560" s="3" t="s">
        <v>12</v>
      </c>
      <c r="C560" s="5">
        <v>44562</v>
      </c>
      <c r="D560" s="5">
        <v>44568</v>
      </c>
      <c r="E560" s="3" t="s">
        <v>26</v>
      </c>
      <c r="F560" s="3" t="s">
        <v>18</v>
      </c>
      <c r="G560" s="3">
        <v>1042</v>
      </c>
      <c r="H560" s="3">
        <v>36.74</v>
      </c>
      <c r="I560" s="3">
        <v>35.78</v>
      </c>
      <c r="J560" s="3">
        <v>33</v>
      </c>
      <c r="K560" s="3" t="s">
        <v>15</v>
      </c>
      <c r="L560" s="3">
        <f t="shared" si="32"/>
        <v>6</v>
      </c>
      <c r="M560" s="4">
        <f t="shared" si="33"/>
        <v>0.96000000000000085</v>
      </c>
      <c r="N560" s="6">
        <f t="shared" si="34"/>
        <v>2.6129559063690824E-2</v>
      </c>
      <c r="O560" s="4">
        <f t="shared" si="35"/>
        <v>1000.3200000000008</v>
      </c>
    </row>
    <row r="561" spans="1:15" x14ac:dyDescent="0.3">
      <c r="A561" s="3" t="s">
        <v>586</v>
      </c>
      <c r="B561" s="3" t="s">
        <v>12</v>
      </c>
      <c r="C561" s="5">
        <v>44873</v>
      </c>
      <c r="D561" s="3"/>
      <c r="E561" s="3" t="s">
        <v>26</v>
      </c>
      <c r="F561" s="3" t="s">
        <v>18</v>
      </c>
      <c r="G561" s="3">
        <v>313</v>
      </c>
      <c r="H561" s="3">
        <v>64.03</v>
      </c>
      <c r="I561" s="3">
        <v>57.74</v>
      </c>
      <c r="J561" s="3">
        <v>1</v>
      </c>
      <c r="K561" s="3" t="s">
        <v>15</v>
      </c>
      <c r="L561" s="3" t="str">
        <f t="shared" si="32"/>
        <v/>
      </c>
      <c r="M561" s="4">
        <f t="shared" si="33"/>
        <v>6.2899999999999991</v>
      </c>
      <c r="N561" s="6">
        <f t="shared" si="34"/>
        <v>9.8235202248945788E-2</v>
      </c>
      <c r="O561" s="4">
        <f t="shared" si="35"/>
        <v>1968.7699999999998</v>
      </c>
    </row>
    <row r="562" spans="1:15" x14ac:dyDescent="0.3">
      <c r="A562" s="3" t="s">
        <v>587</v>
      </c>
      <c r="B562" s="3" t="s">
        <v>12</v>
      </c>
      <c r="C562" s="5">
        <v>44855</v>
      </c>
      <c r="D562" s="5">
        <v>44875</v>
      </c>
      <c r="E562" s="3" t="s">
        <v>13</v>
      </c>
      <c r="F562" s="3" t="s">
        <v>18</v>
      </c>
      <c r="G562" s="3">
        <v>1126</v>
      </c>
      <c r="H562" s="3">
        <v>55.22</v>
      </c>
      <c r="I562" s="3">
        <v>50.38</v>
      </c>
      <c r="J562" s="3"/>
      <c r="K562" s="3" t="s">
        <v>15</v>
      </c>
      <c r="L562" s="3">
        <f t="shared" si="32"/>
        <v>20</v>
      </c>
      <c r="M562" s="4">
        <f t="shared" si="33"/>
        <v>4.8399999999999963</v>
      </c>
      <c r="N562" s="6">
        <f t="shared" si="34"/>
        <v>8.7649402390438183E-2</v>
      </c>
      <c r="O562" s="4">
        <f t="shared" si="35"/>
        <v>5449.8399999999956</v>
      </c>
    </row>
    <row r="563" spans="1:15" x14ac:dyDescent="0.3">
      <c r="A563" s="3" t="s">
        <v>588</v>
      </c>
      <c r="B563" s="3" t="s">
        <v>20</v>
      </c>
      <c r="C563" s="5">
        <v>44777</v>
      </c>
      <c r="D563" s="5">
        <v>44792</v>
      </c>
      <c r="E563" s="3" t="s">
        <v>21</v>
      </c>
      <c r="F563" s="3" t="s">
        <v>18</v>
      </c>
      <c r="G563" s="3">
        <v>1645</v>
      </c>
      <c r="H563" s="3">
        <v>72.17</v>
      </c>
      <c r="I563" s="3">
        <v>64</v>
      </c>
      <c r="J563" s="3">
        <v>79</v>
      </c>
      <c r="K563" s="3" t="s">
        <v>15</v>
      </c>
      <c r="L563" s="3">
        <f t="shared" si="32"/>
        <v>15</v>
      </c>
      <c r="M563" s="4">
        <f t="shared" si="33"/>
        <v>8.1700000000000017</v>
      </c>
      <c r="N563" s="6">
        <f t="shared" si="34"/>
        <v>0.11320493279756133</v>
      </c>
      <c r="O563" s="4">
        <f t="shared" si="35"/>
        <v>13439.650000000003</v>
      </c>
    </row>
    <row r="564" spans="1:15" x14ac:dyDescent="0.3">
      <c r="A564" s="3" t="s">
        <v>589</v>
      </c>
      <c r="B564" s="3" t="s">
        <v>23</v>
      </c>
      <c r="C564" s="5">
        <v>45002</v>
      </c>
      <c r="D564" s="5">
        <v>45005</v>
      </c>
      <c r="E564" s="3" t="s">
        <v>24</v>
      </c>
      <c r="F564" s="3" t="s">
        <v>18</v>
      </c>
      <c r="G564" s="3">
        <v>1053</v>
      </c>
      <c r="H564" s="3">
        <v>100.92</v>
      </c>
      <c r="I564" s="3">
        <v>92.35</v>
      </c>
      <c r="J564" s="3">
        <v>104</v>
      </c>
      <c r="K564" s="3" t="s">
        <v>15</v>
      </c>
      <c r="L564" s="3">
        <f t="shared" si="32"/>
        <v>3</v>
      </c>
      <c r="M564" s="4">
        <f t="shared" si="33"/>
        <v>8.5700000000000074</v>
      </c>
      <c r="N564" s="6">
        <f t="shared" si="34"/>
        <v>8.4918747522790397E-2</v>
      </c>
      <c r="O564" s="4">
        <f t="shared" si="35"/>
        <v>9024.2100000000082</v>
      </c>
    </row>
    <row r="565" spans="1:15" x14ac:dyDescent="0.3">
      <c r="A565" s="3" t="s">
        <v>590</v>
      </c>
      <c r="B565" s="3" t="s">
        <v>29</v>
      </c>
      <c r="C565" s="5">
        <v>45155</v>
      </c>
      <c r="D565" s="5">
        <v>45167</v>
      </c>
      <c r="E565" s="3" t="s">
        <v>21</v>
      </c>
      <c r="F565" s="3" t="s">
        <v>18</v>
      </c>
      <c r="G565" s="3">
        <v>1693</v>
      </c>
      <c r="H565" s="3">
        <v>83.14</v>
      </c>
      <c r="I565" s="3">
        <v>73.3</v>
      </c>
      <c r="J565" s="3">
        <v>62</v>
      </c>
      <c r="K565" s="3" t="s">
        <v>15</v>
      </c>
      <c r="L565" s="3">
        <f t="shared" si="32"/>
        <v>12</v>
      </c>
      <c r="M565" s="4">
        <f t="shared" si="33"/>
        <v>9.8400000000000034</v>
      </c>
      <c r="N565" s="6">
        <f t="shared" si="34"/>
        <v>0.11835458263170559</v>
      </c>
      <c r="O565" s="4">
        <f t="shared" si="35"/>
        <v>16659.120000000006</v>
      </c>
    </row>
    <row r="566" spans="1:15" x14ac:dyDescent="0.3">
      <c r="A566" s="3" t="s">
        <v>591</v>
      </c>
      <c r="B566" s="3" t="s">
        <v>29</v>
      </c>
      <c r="C566" s="5">
        <v>45183</v>
      </c>
      <c r="D566" s="5">
        <v>45202</v>
      </c>
      <c r="E566" s="3" t="s">
        <v>26</v>
      </c>
      <c r="F566" s="3" t="s">
        <v>35</v>
      </c>
      <c r="G566" s="3">
        <v>54</v>
      </c>
      <c r="H566" s="3">
        <v>32.28</v>
      </c>
      <c r="I566" s="3">
        <v>28.65</v>
      </c>
      <c r="J566" s="3">
        <v>3</v>
      </c>
      <c r="K566" s="3" t="s">
        <v>15</v>
      </c>
      <c r="L566" s="3">
        <f t="shared" si="32"/>
        <v>19</v>
      </c>
      <c r="M566" s="4">
        <f t="shared" si="33"/>
        <v>3.6300000000000026</v>
      </c>
      <c r="N566" s="6">
        <f t="shared" si="34"/>
        <v>0.11245353159851308</v>
      </c>
      <c r="O566" s="4">
        <f t="shared" si="35"/>
        <v>196.02000000000015</v>
      </c>
    </row>
    <row r="567" spans="1:15" x14ac:dyDescent="0.3">
      <c r="A567" s="3" t="s">
        <v>592</v>
      </c>
      <c r="B567" s="3" t="s">
        <v>29</v>
      </c>
      <c r="C567" s="5">
        <v>45232</v>
      </c>
      <c r="D567" s="5">
        <v>45237</v>
      </c>
      <c r="E567" s="3" t="s">
        <v>24</v>
      </c>
      <c r="F567" s="3" t="s">
        <v>18</v>
      </c>
      <c r="G567" s="3">
        <v>1176</v>
      </c>
      <c r="H567" s="3">
        <v>14.22</v>
      </c>
      <c r="I567" s="3">
        <v>12.21</v>
      </c>
      <c r="J567" s="3">
        <v>33</v>
      </c>
      <c r="K567" s="3" t="s">
        <v>15</v>
      </c>
      <c r="L567" s="3">
        <f t="shared" si="32"/>
        <v>5</v>
      </c>
      <c r="M567" s="4">
        <f t="shared" si="33"/>
        <v>2.0099999999999998</v>
      </c>
      <c r="N567" s="6">
        <f t="shared" si="34"/>
        <v>0.1413502109704641</v>
      </c>
      <c r="O567" s="4">
        <f t="shared" si="35"/>
        <v>2363.7599999999998</v>
      </c>
    </row>
    <row r="568" spans="1:15" x14ac:dyDescent="0.3">
      <c r="A568" s="3" t="s">
        <v>593</v>
      </c>
      <c r="B568" s="3" t="s">
        <v>29</v>
      </c>
      <c r="C568" s="5">
        <v>44891</v>
      </c>
      <c r="D568" s="5">
        <v>44903</v>
      </c>
      <c r="E568" s="3" t="s">
        <v>26</v>
      </c>
      <c r="F568" s="3" t="s">
        <v>18</v>
      </c>
      <c r="G568" s="3">
        <v>1269</v>
      </c>
      <c r="H568" s="3">
        <v>35.28</v>
      </c>
      <c r="I568" s="3">
        <v>33.700000000000003</v>
      </c>
      <c r="J568" s="3">
        <v>35</v>
      </c>
      <c r="K568" s="3" t="s">
        <v>15</v>
      </c>
      <c r="L568" s="3">
        <f t="shared" si="32"/>
        <v>12</v>
      </c>
      <c r="M568" s="4">
        <f t="shared" si="33"/>
        <v>1.5799999999999983</v>
      </c>
      <c r="N568" s="6">
        <f t="shared" si="34"/>
        <v>4.4784580498866161E-2</v>
      </c>
      <c r="O568" s="4">
        <f t="shared" si="35"/>
        <v>2005.0199999999979</v>
      </c>
    </row>
    <row r="569" spans="1:15" x14ac:dyDescent="0.3">
      <c r="A569" s="3" t="s">
        <v>594</v>
      </c>
      <c r="B569" s="3" t="s">
        <v>29</v>
      </c>
      <c r="C569" s="5">
        <v>45038</v>
      </c>
      <c r="D569" s="5">
        <v>45041</v>
      </c>
      <c r="E569" s="3" t="s">
        <v>26</v>
      </c>
      <c r="F569" s="3" t="s">
        <v>18</v>
      </c>
      <c r="G569" s="3">
        <v>823</v>
      </c>
      <c r="H569" s="3">
        <v>68.319999999999993</v>
      </c>
      <c r="I569" s="3">
        <v>64.459999999999994</v>
      </c>
      <c r="J569" s="3">
        <v>19</v>
      </c>
      <c r="K569" s="3" t="s">
        <v>15</v>
      </c>
      <c r="L569" s="3">
        <f t="shared" si="32"/>
        <v>3</v>
      </c>
      <c r="M569" s="4">
        <f t="shared" si="33"/>
        <v>3.8599999999999994</v>
      </c>
      <c r="N569" s="6">
        <f t="shared" si="34"/>
        <v>5.6498829039812647E-2</v>
      </c>
      <c r="O569" s="4">
        <f t="shared" si="35"/>
        <v>3176.7799999999997</v>
      </c>
    </row>
    <row r="570" spans="1:15" x14ac:dyDescent="0.3">
      <c r="A570" s="3" t="s">
        <v>595</v>
      </c>
      <c r="B570" s="3" t="s">
        <v>23</v>
      </c>
      <c r="C570" s="5">
        <v>45014</v>
      </c>
      <c r="D570" s="5">
        <v>45031</v>
      </c>
      <c r="E570" s="3" t="s">
        <v>39</v>
      </c>
      <c r="F570" s="3" t="s">
        <v>18</v>
      </c>
      <c r="G570" s="3">
        <v>926</v>
      </c>
      <c r="H570" s="3">
        <v>15.65</v>
      </c>
      <c r="I570" s="3">
        <v>13.49</v>
      </c>
      <c r="J570" s="3">
        <v>94</v>
      </c>
      <c r="K570" s="3" t="s">
        <v>27</v>
      </c>
      <c r="L570" s="3">
        <f t="shared" si="32"/>
        <v>17</v>
      </c>
      <c r="M570" s="4">
        <f t="shared" si="33"/>
        <v>2.16</v>
      </c>
      <c r="N570" s="6">
        <f t="shared" si="34"/>
        <v>0.13801916932907349</v>
      </c>
      <c r="O570" s="4">
        <f t="shared" si="35"/>
        <v>2000.16</v>
      </c>
    </row>
    <row r="571" spans="1:15" x14ac:dyDescent="0.3">
      <c r="A571" s="3" t="s">
        <v>596</v>
      </c>
      <c r="B571" s="3" t="s">
        <v>17</v>
      </c>
      <c r="C571" s="5">
        <v>45014</v>
      </c>
      <c r="D571" s="5">
        <v>45025</v>
      </c>
      <c r="E571" s="3" t="s">
        <v>39</v>
      </c>
      <c r="F571" s="3" t="s">
        <v>14</v>
      </c>
      <c r="G571" s="3">
        <v>1041</v>
      </c>
      <c r="H571" s="3">
        <v>58.5</v>
      </c>
      <c r="I571" s="3">
        <v>52.54</v>
      </c>
      <c r="J571" s="3">
        <v>170</v>
      </c>
      <c r="K571" s="3" t="s">
        <v>27</v>
      </c>
      <c r="L571" s="3">
        <f t="shared" si="32"/>
        <v>11</v>
      </c>
      <c r="M571" s="4">
        <f t="shared" si="33"/>
        <v>5.9600000000000009</v>
      </c>
      <c r="N571" s="6">
        <f t="shared" si="34"/>
        <v>0.1018803418803419</v>
      </c>
      <c r="O571" s="4">
        <f t="shared" si="35"/>
        <v>6204.3600000000006</v>
      </c>
    </row>
    <row r="572" spans="1:15" x14ac:dyDescent="0.3">
      <c r="A572" s="3" t="s">
        <v>597</v>
      </c>
      <c r="B572" s="3" t="s">
        <v>20</v>
      </c>
      <c r="C572" s="5">
        <v>45253</v>
      </c>
      <c r="D572" s="5">
        <v>45261</v>
      </c>
      <c r="E572" s="3" t="s">
        <v>39</v>
      </c>
      <c r="F572" s="3" t="s">
        <v>35</v>
      </c>
      <c r="G572" s="3">
        <v>933</v>
      </c>
      <c r="H572" s="3">
        <v>70.72</v>
      </c>
      <c r="I572" s="3">
        <v>65.47</v>
      </c>
      <c r="J572" s="3">
        <v>42</v>
      </c>
      <c r="K572" s="3" t="s">
        <v>15</v>
      </c>
      <c r="L572" s="3">
        <f t="shared" si="32"/>
        <v>8</v>
      </c>
      <c r="M572" s="4">
        <f t="shared" si="33"/>
        <v>5.25</v>
      </c>
      <c r="N572" s="6">
        <f t="shared" si="34"/>
        <v>7.4236425339366516E-2</v>
      </c>
      <c r="O572" s="4">
        <f t="shared" si="35"/>
        <v>4898.25</v>
      </c>
    </row>
    <row r="573" spans="1:15" x14ac:dyDescent="0.3">
      <c r="A573" s="3" t="s">
        <v>598</v>
      </c>
      <c r="B573" s="3" t="s">
        <v>17</v>
      </c>
      <c r="C573" s="5">
        <v>44780</v>
      </c>
      <c r="D573" s="3"/>
      <c r="E573" s="3" t="s">
        <v>26</v>
      </c>
      <c r="F573" s="3" t="s">
        <v>18</v>
      </c>
      <c r="G573" s="3">
        <v>1423</v>
      </c>
      <c r="H573" s="3">
        <v>41.48</v>
      </c>
      <c r="I573" s="3">
        <v>40.9</v>
      </c>
      <c r="J573" s="3">
        <v>199</v>
      </c>
      <c r="K573" s="3" t="s">
        <v>15</v>
      </c>
      <c r="L573" s="3" t="str">
        <f t="shared" si="32"/>
        <v/>
      </c>
      <c r="M573" s="4">
        <f t="shared" si="33"/>
        <v>0.57999999999999829</v>
      </c>
      <c r="N573" s="6">
        <f t="shared" si="34"/>
        <v>1.3982642237222717E-2</v>
      </c>
      <c r="O573" s="4">
        <f t="shared" si="35"/>
        <v>825.33999999999753</v>
      </c>
    </row>
    <row r="574" spans="1:15" x14ac:dyDescent="0.3">
      <c r="A574" s="3" t="s">
        <v>599</v>
      </c>
      <c r="B574" s="3" t="s">
        <v>17</v>
      </c>
      <c r="C574" s="5">
        <v>45085</v>
      </c>
      <c r="D574" s="5">
        <v>45091</v>
      </c>
      <c r="E574" s="3" t="s">
        <v>21</v>
      </c>
      <c r="F574" s="3" t="s">
        <v>18</v>
      </c>
      <c r="G574" s="3">
        <v>96</v>
      </c>
      <c r="H574" s="3">
        <v>86.13</v>
      </c>
      <c r="I574" s="3">
        <v>80.319999999999993</v>
      </c>
      <c r="J574" s="3">
        <v>12</v>
      </c>
      <c r="K574" s="3" t="s">
        <v>27</v>
      </c>
      <c r="L574" s="3">
        <f t="shared" si="32"/>
        <v>6</v>
      </c>
      <c r="M574" s="4">
        <f t="shared" si="33"/>
        <v>5.8100000000000023</v>
      </c>
      <c r="N574" s="6">
        <f t="shared" si="34"/>
        <v>6.7456170904446791E-2</v>
      </c>
      <c r="O574" s="4">
        <f t="shared" si="35"/>
        <v>557.76000000000022</v>
      </c>
    </row>
    <row r="575" spans="1:15" x14ac:dyDescent="0.3">
      <c r="A575" s="3" t="s">
        <v>600</v>
      </c>
      <c r="B575" s="3" t="s">
        <v>29</v>
      </c>
      <c r="C575" s="5">
        <v>45046</v>
      </c>
      <c r="D575" s="5">
        <v>45059</v>
      </c>
      <c r="E575" s="3" t="s">
        <v>21</v>
      </c>
      <c r="F575" s="3" t="s">
        <v>18</v>
      </c>
      <c r="G575" s="3">
        <v>916</v>
      </c>
      <c r="H575" s="3">
        <v>21.06</v>
      </c>
      <c r="I575" s="3">
        <v>19.53</v>
      </c>
      <c r="J575" s="3">
        <v>25</v>
      </c>
      <c r="K575" s="3" t="s">
        <v>15</v>
      </c>
      <c r="L575" s="3">
        <f t="shared" si="32"/>
        <v>13</v>
      </c>
      <c r="M575" s="4">
        <f t="shared" si="33"/>
        <v>1.5299999999999976</v>
      </c>
      <c r="N575" s="6">
        <f t="shared" si="34"/>
        <v>7.2649572649572544E-2</v>
      </c>
      <c r="O575" s="4">
        <f t="shared" si="35"/>
        <v>1401.4799999999977</v>
      </c>
    </row>
    <row r="576" spans="1:15" x14ac:dyDescent="0.3">
      <c r="A576" s="3" t="s">
        <v>601</v>
      </c>
      <c r="B576" s="3" t="s">
        <v>29</v>
      </c>
      <c r="C576" s="5">
        <v>44735</v>
      </c>
      <c r="D576" s="3"/>
      <c r="E576" s="3" t="s">
        <v>26</v>
      </c>
      <c r="F576" s="3" t="s">
        <v>18</v>
      </c>
      <c r="G576" s="3">
        <v>872</v>
      </c>
      <c r="H576" s="3">
        <v>17.18</v>
      </c>
      <c r="I576" s="3">
        <v>16.63</v>
      </c>
      <c r="J576" s="3">
        <v>20</v>
      </c>
      <c r="K576" s="3" t="s">
        <v>15</v>
      </c>
      <c r="L576" s="3" t="str">
        <f t="shared" si="32"/>
        <v/>
      </c>
      <c r="M576" s="4">
        <f t="shared" si="33"/>
        <v>0.55000000000000071</v>
      </c>
      <c r="N576" s="6">
        <f t="shared" si="34"/>
        <v>3.2013969732246843E-2</v>
      </c>
      <c r="O576" s="4">
        <f t="shared" si="35"/>
        <v>479.60000000000059</v>
      </c>
    </row>
    <row r="577" spans="1:15" x14ac:dyDescent="0.3">
      <c r="A577" s="3" t="s">
        <v>602</v>
      </c>
      <c r="B577" s="3" t="s">
        <v>23</v>
      </c>
      <c r="C577" s="5">
        <v>45236</v>
      </c>
      <c r="D577" s="5">
        <v>45245</v>
      </c>
      <c r="E577" s="3" t="s">
        <v>39</v>
      </c>
      <c r="F577" s="3" t="s">
        <v>18</v>
      </c>
      <c r="G577" s="3">
        <v>985</v>
      </c>
      <c r="H577" s="3">
        <v>83.85</v>
      </c>
      <c r="I577" s="3">
        <v>80.88</v>
      </c>
      <c r="J577" s="3"/>
      <c r="K577" s="3" t="s">
        <v>27</v>
      </c>
      <c r="L577" s="3">
        <f t="shared" si="32"/>
        <v>9</v>
      </c>
      <c r="M577" s="4">
        <f t="shared" si="33"/>
        <v>2.9699999999999989</v>
      </c>
      <c r="N577" s="6">
        <f t="shared" si="34"/>
        <v>3.5420393559928431E-2</v>
      </c>
      <c r="O577" s="4">
        <f t="shared" si="35"/>
        <v>2925.4499999999989</v>
      </c>
    </row>
    <row r="578" spans="1:15" x14ac:dyDescent="0.3">
      <c r="A578" s="3" t="s">
        <v>603</v>
      </c>
      <c r="B578" s="3" t="s">
        <v>20</v>
      </c>
      <c r="C578" s="5">
        <v>44648</v>
      </c>
      <c r="D578" s="5">
        <v>44655</v>
      </c>
      <c r="E578" s="3" t="s">
        <v>26</v>
      </c>
      <c r="F578" s="3" t="s">
        <v>18</v>
      </c>
      <c r="G578" s="3">
        <v>1893</v>
      </c>
      <c r="H578" s="3">
        <v>55.14</v>
      </c>
      <c r="I578" s="3">
        <v>50.1</v>
      </c>
      <c r="J578" s="3">
        <v>98</v>
      </c>
      <c r="K578" s="3" t="s">
        <v>15</v>
      </c>
      <c r="L578" s="3">
        <f t="shared" si="32"/>
        <v>7</v>
      </c>
      <c r="M578" s="4">
        <f t="shared" si="33"/>
        <v>5.0399999999999991</v>
      </c>
      <c r="N578" s="6">
        <f t="shared" si="34"/>
        <v>9.14036996735582E-2</v>
      </c>
      <c r="O578" s="4">
        <f t="shared" si="35"/>
        <v>9540.7199999999975</v>
      </c>
    </row>
    <row r="579" spans="1:15" x14ac:dyDescent="0.3">
      <c r="A579" s="3" t="s">
        <v>604</v>
      </c>
      <c r="B579" s="3" t="s">
        <v>12</v>
      </c>
      <c r="C579" s="5">
        <v>44852</v>
      </c>
      <c r="D579" s="3"/>
      <c r="E579" s="3" t="s">
        <v>21</v>
      </c>
      <c r="F579" s="3" t="s">
        <v>18</v>
      </c>
      <c r="G579" s="3">
        <v>705</v>
      </c>
      <c r="H579" s="3">
        <v>75.19</v>
      </c>
      <c r="I579" s="3">
        <v>69.55</v>
      </c>
      <c r="J579" s="3">
        <v>19</v>
      </c>
      <c r="K579" s="3" t="s">
        <v>15</v>
      </c>
      <c r="L579" s="3" t="str">
        <f t="shared" ref="L579:L642" si="36">IF(OR(C579="",D579=""),"",D579-C579)</f>
        <v/>
      </c>
      <c r="M579" s="4">
        <f t="shared" ref="M579:M642" si="37">H579-I579</f>
        <v>5.6400000000000006</v>
      </c>
      <c r="N579" s="6">
        <f t="shared" ref="N579:N642" si="38">IFERROR((H579-I579)/H579,0)</f>
        <v>7.5009974730682286E-2</v>
      </c>
      <c r="O579" s="4">
        <f t="shared" ref="O579:O642" si="39">(H579-I579)*G579</f>
        <v>3976.2000000000003</v>
      </c>
    </row>
    <row r="580" spans="1:15" x14ac:dyDescent="0.3">
      <c r="A580" s="3" t="s">
        <v>605</v>
      </c>
      <c r="B580" s="3" t="s">
        <v>17</v>
      </c>
      <c r="C580" s="5">
        <v>45089</v>
      </c>
      <c r="D580" s="5">
        <v>45105</v>
      </c>
      <c r="E580" s="3" t="s">
        <v>21</v>
      </c>
      <c r="F580" s="3" t="s">
        <v>18</v>
      </c>
      <c r="G580" s="3">
        <v>318</v>
      </c>
      <c r="H580" s="3">
        <v>53.31</v>
      </c>
      <c r="I580" s="3">
        <v>51.78</v>
      </c>
      <c r="J580" s="3"/>
      <c r="K580" s="3" t="s">
        <v>27</v>
      </c>
      <c r="L580" s="3">
        <f t="shared" si="36"/>
        <v>16</v>
      </c>
      <c r="M580" s="4">
        <f t="shared" si="37"/>
        <v>1.5300000000000011</v>
      </c>
      <c r="N580" s="6">
        <f t="shared" si="38"/>
        <v>2.8700056274620165E-2</v>
      </c>
      <c r="O580" s="4">
        <f t="shared" si="39"/>
        <v>486.54000000000036</v>
      </c>
    </row>
    <row r="581" spans="1:15" x14ac:dyDescent="0.3">
      <c r="A581" s="3" t="s">
        <v>606</v>
      </c>
      <c r="B581" s="3" t="s">
        <v>12</v>
      </c>
      <c r="C581" s="5">
        <v>45241</v>
      </c>
      <c r="D581" s="5">
        <v>45246</v>
      </c>
      <c r="E581" s="3" t="s">
        <v>13</v>
      </c>
      <c r="F581" s="3" t="s">
        <v>35</v>
      </c>
      <c r="G581" s="3">
        <v>419</v>
      </c>
      <c r="H581" s="3">
        <v>35.72</v>
      </c>
      <c r="I581" s="3">
        <v>32.74</v>
      </c>
      <c r="J581" s="3">
        <v>7</v>
      </c>
      <c r="K581" s="3" t="s">
        <v>15</v>
      </c>
      <c r="L581" s="3">
        <f t="shared" si="36"/>
        <v>5</v>
      </c>
      <c r="M581" s="4">
        <f t="shared" si="37"/>
        <v>2.9799999999999969</v>
      </c>
      <c r="N581" s="6">
        <f t="shared" si="38"/>
        <v>8.3426651735722196E-2</v>
      </c>
      <c r="O581" s="4">
        <f t="shared" si="39"/>
        <v>1248.6199999999988</v>
      </c>
    </row>
    <row r="582" spans="1:15" x14ac:dyDescent="0.3">
      <c r="A582" s="3" t="s">
        <v>607</v>
      </c>
      <c r="B582" s="3" t="s">
        <v>20</v>
      </c>
      <c r="C582" s="5">
        <v>45210</v>
      </c>
      <c r="D582" s="5">
        <v>45225</v>
      </c>
      <c r="E582" s="3" t="s">
        <v>21</v>
      </c>
      <c r="F582" s="3" t="s">
        <v>18</v>
      </c>
      <c r="G582" s="3">
        <v>685</v>
      </c>
      <c r="H582" s="3">
        <v>92.51</v>
      </c>
      <c r="I582" s="3">
        <v>90.05</v>
      </c>
      <c r="J582" s="3">
        <v>38</v>
      </c>
      <c r="K582" s="3" t="s">
        <v>15</v>
      </c>
      <c r="L582" s="3">
        <f t="shared" si="36"/>
        <v>15</v>
      </c>
      <c r="M582" s="4">
        <f t="shared" si="37"/>
        <v>2.460000000000008</v>
      </c>
      <c r="N582" s="6">
        <f t="shared" si="38"/>
        <v>2.6591719814074238E-2</v>
      </c>
      <c r="O582" s="4">
        <f t="shared" si="39"/>
        <v>1685.1000000000054</v>
      </c>
    </row>
    <row r="583" spans="1:15" x14ac:dyDescent="0.3">
      <c r="A583" s="3" t="s">
        <v>608</v>
      </c>
      <c r="B583" s="3" t="s">
        <v>17</v>
      </c>
      <c r="C583" s="5">
        <v>45196</v>
      </c>
      <c r="D583" s="5">
        <v>45211</v>
      </c>
      <c r="E583" s="3" t="s">
        <v>13</v>
      </c>
      <c r="F583" s="3" t="s">
        <v>33</v>
      </c>
      <c r="G583" s="3">
        <v>1179</v>
      </c>
      <c r="H583" s="3">
        <v>90.14</v>
      </c>
      <c r="I583" s="3">
        <v>82.63</v>
      </c>
      <c r="J583" s="3">
        <v>194</v>
      </c>
      <c r="K583" s="3" t="s">
        <v>15</v>
      </c>
      <c r="L583" s="3">
        <f t="shared" si="36"/>
        <v>15</v>
      </c>
      <c r="M583" s="4">
        <f t="shared" si="37"/>
        <v>7.5100000000000051</v>
      </c>
      <c r="N583" s="6">
        <f t="shared" si="38"/>
        <v>8.3314843576658582E-2</v>
      </c>
      <c r="O583" s="4">
        <f t="shared" si="39"/>
        <v>8854.2900000000063</v>
      </c>
    </row>
    <row r="584" spans="1:15" x14ac:dyDescent="0.3">
      <c r="A584" s="3" t="s">
        <v>609</v>
      </c>
      <c r="B584" s="3" t="s">
        <v>12</v>
      </c>
      <c r="C584" s="5">
        <v>44905</v>
      </c>
      <c r="D584" s="3"/>
      <c r="E584" s="3" t="s">
        <v>26</v>
      </c>
      <c r="F584" s="3" t="s">
        <v>18</v>
      </c>
      <c r="G584" s="3">
        <v>1743</v>
      </c>
      <c r="H584" s="3">
        <v>76.510000000000005</v>
      </c>
      <c r="I584" s="3">
        <v>65.88</v>
      </c>
      <c r="J584" s="3">
        <v>40</v>
      </c>
      <c r="K584" s="3" t="s">
        <v>15</v>
      </c>
      <c r="L584" s="3" t="str">
        <f t="shared" si="36"/>
        <v/>
      </c>
      <c r="M584" s="4">
        <f t="shared" si="37"/>
        <v>10.63000000000001</v>
      </c>
      <c r="N584" s="6">
        <f t="shared" si="38"/>
        <v>0.13893608678604116</v>
      </c>
      <c r="O584" s="4">
        <f t="shared" si="39"/>
        <v>18528.090000000018</v>
      </c>
    </row>
    <row r="585" spans="1:15" x14ac:dyDescent="0.3">
      <c r="A585" s="3" t="s">
        <v>610</v>
      </c>
      <c r="B585" s="3" t="s">
        <v>12</v>
      </c>
      <c r="C585" s="5">
        <v>44657</v>
      </c>
      <c r="D585" s="5">
        <v>44668</v>
      </c>
      <c r="E585" s="3" t="s">
        <v>21</v>
      </c>
      <c r="F585" s="3" t="s">
        <v>18</v>
      </c>
      <c r="G585" s="3">
        <v>1732</v>
      </c>
      <c r="H585" s="3">
        <v>35.01</v>
      </c>
      <c r="I585" s="3">
        <v>34.18</v>
      </c>
      <c r="J585" s="3">
        <v>40</v>
      </c>
      <c r="K585" s="3" t="s">
        <v>15</v>
      </c>
      <c r="L585" s="3">
        <f t="shared" si="36"/>
        <v>11</v>
      </c>
      <c r="M585" s="4">
        <f t="shared" si="37"/>
        <v>0.82999999999999829</v>
      </c>
      <c r="N585" s="6">
        <f t="shared" si="38"/>
        <v>2.3707512139388699E-2</v>
      </c>
      <c r="O585" s="4">
        <f t="shared" si="39"/>
        <v>1437.559999999997</v>
      </c>
    </row>
    <row r="586" spans="1:15" x14ac:dyDescent="0.3">
      <c r="A586" s="3" t="s">
        <v>611</v>
      </c>
      <c r="B586" s="3" t="s">
        <v>23</v>
      </c>
      <c r="C586" s="5">
        <v>44802</v>
      </c>
      <c r="D586" s="5">
        <v>44805</v>
      </c>
      <c r="E586" s="3" t="s">
        <v>13</v>
      </c>
      <c r="F586" s="3" t="s">
        <v>18</v>
      </c>
      <c r="G586" s="3">
        <v>706</v>
      </c>
      <c r="H586" s="3">
        <v>65.33</v>
      </c>
      <c r="I586" s="3">
        <v>62.06</v>
      </c>
      <c r="J586" s="3">
        <v>60</v>
      </c>
      <c r="K586" s="3" t="s">
        <v>27</v>
      </c>
      <c r="L586" s="3">
        <f t="shared" si="36"/>
        <v>3</v>
      </c>
      <c r="M586" s="4">
        <f t="shared" si="37"/>
        <v>3.269999999999996</v>
      </c>
      <c r="N586" s="6">
        <f t="shared" si="38"/>
        <v>5.005357416194698E-2</v>
      </c>
      <c r="O586" s="4">
        <f t="shared" si="39"/>
        <v>2308.6199999999972</v>
      </c>
    </row>
    <row r="587" spans="1:15" x14ac:dyDescent="0.3">
      <c r="A587" s="3" t="s">
        <v>612</v>
      </c>
      <c r="B587" s="3" t="s">
        <v>20</v>
      </c>
      <c r="C587" s="5">
        <v>45250</v>
      </c>
      <c r="D587" s="5">
        <v>45260</v>
      </c>
      <c r="E587" s="3" t="s">
        <v>21</v>
      </c>
      <c r="F587" s="3" t="s">
        <v>14</v>
      </c>
      <c r="G587" s="3">
        <v>169</v>
      </c>
      <c r="H587" s="3">
        <v>47.16</v>
      </c>
      <c r="I587" s="3">
        <v>43.4</v>
      </c>
      <c r="J587" s="3"/>
      <c r="K587" s="3" t="s">
        <v>15</v>
      </c>
      <c r="L587" s="3">
        <f t="shared" si="36"/>
        <v>10</v>
      </c>
      <c r="M587" s="4">
        <f t="shared" si="37"/>
        <v>3.759999999999998</v>
      </c>
      <c r="N587" s="6">
        <f t="shared" si="38"/>
        <v>7.9728583545377402E-2</v>
      </c>
      <c r="O587" s="4">
        <f t="shared" si="39"/>
        <v>635.43999999999971</v>
      </c>
    </row>
    <row r="588" spans="1:15" x14ac:dyDescent="0.3">
      <c r="A588" s="3" t="s">
        <v>613</v>
      </c>
      <c r="B588" s="3" t="s">
        <v>20</v>
      </c>
      <c r="C588" s="5">
        <v>44879</v>
      </c>
      <c r="D588" s="5">
        <v>44885</v>
      </c>
      <c r="E588" s="3" t="s">
        <v>13</v>
      </c>
      <c r="F588" s="3" t="s">
        <v>35</v>
      </c>
      <c r="G588" s="3">
        <v>880</v>
      </c>
      <c r="H588" s="3">
        <v>19.149999999999999</v>
      </c>
      <c r="I588" s="3">
        <v>18.690000000000001</v>
      </c>
      <c r="J588" s="3"/>
      <c r="K588" s="3" t="s">
        <v>27</v>
      </c>
      <c r="L588" s="3">
        <f t="shared" si="36"/>
        <v>6</v>
      </c>
      <c r="M588" s="4">
        <f t="shared" si="37"/>
        <v>0.4599999999999973</v>
      </c>
      <c r="N588" s="6">
        <f t="shared" si="38"/>
        <v>2.4020887728459391E-2</v>
      </c>
      <c r="O588" s="4">
        <f t="shared" si="39"/>
        <v>404.79999999999762</v>
      </c>
    </row>
    <row r="589" spans="1:15" x14ac:dyDescent="0.3">
      <c r="A589" s="3" t="s">
        <v>614</v>
      </c>
      <c r="B589" s="3" t="s">
        <v>20</v>
      </c>
      <c r="C589" s="5">
        <v>44792</v>
      </c>
      <c r="D589" s="5">
        <v>44798</v>
      </c>
      <c r="E589" s="3" t="s">
        <v>21</v>
      </c>
      <c r="F589" s="3" t="s">
        <v>18</v>
      </c>
      <c r="G589" s="3">
        <v>1860</v>
      </c>
      <c r="H589" s="3">
        <v>95.8</v>
      </c>
      <c r="I589" s="3">
        <v>92.17</v>
      </c>
      <c r="J589" s="3">
        <v>105</v>
      </c>
      <c r="K589" s="3" t="s">
        <v>27</v>
      </c>
      <c r="L589" s="3">
        <f t="shared" si="36"/>
        <v>6</v>
      </c>
      <c r="M589" s="4">
        <f t="shared" si="37"/>
        <v>3.6299999999999955</v>
      </c>
      <c r="N589" s="6">
        <f t="shared" si="38"/>
        <v>3.7891440501043795E-2</v>
      </c>
      <c r="O589" s="4">
        <f t="shared" si="39"/>
        <v>6751.799999999992</v>
      </c>
    </row>
    <row r="590" spans="1:15" x14ac:dyDescent="0.3">
      <c r="A590" s="3" t="s">
        <v>615</v>
      </c>
      <c r="B590" s="3" t="s">
        <v>17</v>
      </c>
      <c r="C590" s="5">
        <v>44765</v>
      </c>
      <c r="D590" s="5">
        <v>44782</v>
      </c>
      <c r="E590" s="3" t="s">
        <v>21</v>
      </c>
      <c r="F590" s="3" t="s">
        <v>18</v>
      </c>
      <c r="G590" s="3">
        <v>1677</v>
      </c>
      <c r="H590" s="3">
        <v>22.98</v>
      </c>
      <c r="I590" s="3">
        <v>21.71</v>
      </c>
      <c r="J590" s="3">
        <v>246</v>
      </c>
      <c r="K590" s="3" t="s">
        <v>15</v>
      </c>
      <c r="L590" s="3">
        <f t="shared" si="36"/>
        <v>17</v>
      </c>
      <c r="M590" s="4">
        <f t="shared" si="37"/>
        <v>1.2699999999999996</v>
      </c>
      <c r="N590" s="6">
        <f t="shared" si="38"/>
        <v>5.5265448215839841E-2</v>
      </c>
      <c r="O590" s="4">
        <f t="shared" si="39"/>
        <v>2129.7899999999995</v>
      </c>
    </row>
    <row r="591" spans="1:15" x14ac:dyDescent="0.3">
      <c r="A591" s="3" t="s">
        <v>616</v>
      </c>
      <c r="B591" s="3" t="s">
        <v>23</v>
      </c>
      <c r="C591" s="5">
        <v>44712</v>
      </c>
      <c r="D591" s="5">
        <v>44719</v>
      </c>
      <c r="E591" s="3" t="s">
        <v>24</v>
      </c>
      <c r="F591" s="3" t="s">
        <v>33</v>
      </c>
      <c r="G591" s="3">
        <v>1131</v>
      </c>
      <c r="H591" s="3">
        <v>97.43</v>
      </c>
      <c r="I591" s="3">
        <v>91.28</v>
      </c>
      <c r="J591" s="3">
        <v>103</v>
      </c>
      <c r="K591" s="3" t="s">
        <v>15</v>
      </c>
      <c r="L591" s="3">
        <f t="shared" si="36"/>
        <v>7</v>
      </c>
      <c r="M591" s="4">
        <f t="shared" si="37"/>
        <v>6.1500000000000057</v>
      </c>
      <c r="N591" s="6">
        <f t="shared" si="38"/>
        <v>6.3122241609360627E-2</v>
      </c>
      <c r="O591" s="4">
        <f t="shared" si="39"/>
        <v>6955.650000000006</v>
      </c>
    </row>
    <row r="592" spans="1:15" x14ac:dyDescent="0.3">
      <c r="A592" s="3" t="s">
        <v>617</v>
      </c>
      <c r="B592" s="3" t="s">
        <v>29</v>
      </c>
      <c r="C592" s="5">
        <v>44587</v>
      </c>
      <c r="D592" s="5">
        <v>44595</v>
      </c>
      <c r="E592" s="3" t="s">
        <v>26</v>
      </c>
      <c r="F592" s="3" t="s">
        <v>14</v>
      </c>
      <c r="G592" s="3">
        <v>1419</v>
      </c>
      <c r="H592" s="3">
        <v>50.14</v>
      </c>
      <c r="I592" s="3">
        <v>43.46</v>
      </c>
      <c r="J592" s="3"/>
      <c r="K592" s="3" t="s">
        <v>15</v>
      </c>
      <c r="L592" s="3">
        <f t="shared" si="36"/>
        <v>8</v>
      </c>
      <c r="M592" s="4">
        <f t="shared" si="37"/>
        <v>6.68</v>
      </c>
      <c r="N592" s="6">
        <f t="shared" si="38"/>
        <v>0.13322696449940166</v>
      </c>
      <c r="O592" s="4">
        <f t="shared" si="39"/>
        <v>9478.92</v>
      </c>
    </row>
    <row r="593" spans="1:15" x14ac:dyDescent="0.3">
      <c r="A593" s="3" t="s">
        <v>618</v>
      </c>
      <c r="B593" s="3" t="s">
        <v>17</v>
      </c>
      <c r="C593" s="5">
        <v>44609</v>
      </c>
      <c r="D593" s="5">
        <v>44610</v>
      </c>
      <c r="E593" s="3" t="s">
        <v>26</v>
      </c>
      <c r="F593" s="3" t="s">
        <v>35</v>
      </c>
      <c r="G593" s="3">
        <v>790</v>
      </c>
      <c r="H593" s="3">
        <v>26.8</v>
      </c>
      <c r="I593" s="3">
        <v>25.62</v>
      </c>
      <c r="J593" s="3">
        <v>115</v>
      </c>
      <c r="K593" s="3" t="s">
        <v>15</v>
      </c>
      <c r="L593" s="3">
        <f t="shared" si="36"/>
        <v>1</v>
      </c>
      <c r="M593" s="4">
        <f t="shared" si="37"/>
        <v>1.1799999999999997</v>
      </c>
      <c r="N593" s="6">
        <f t="shared" si="38"/>
        <v>4.4029850746268646E-2</v>
      </c>
      <c r="O593" s="4">
        <f t="shared" si="39"/>
        <v>932.19999999999982</v>
      </c>
    </row>
    <row r="594" spans="1:15" x14ac:dyDescent="0.3">
      <c r="A594" s="3" t="s">
        <v>619</v>
      </c>
      <c r="B594" s="3" t="s">
        <v>20</v>
      </c>
      <c r="C594" s="5">
        <v>44812</v>
      </c>
      <c r="D594" s="5">
        <v>44831</v>
      </c>
      <c r="E594" s="3" t="s">
        <v>21</v>
      </c>
      <c r="F594" s="3" t="s">
        <v>35</v>
      </c>
      <c r="G594" s="3">
        <v>1547</v>
      </c>
      <c r="H594" s="3">
        <v>61.12</v>
      </c>
      <c r="I594" s="3">
        <v>53.43</v>
      </c>
      <c r="J594" s="3">
        <v>77</v>
      </c>
      <c r="K594" s="3" t="s">
        <v>15</v>
      </c>
      <c r="L594" s="3">
        <f t="shared" si="36"/>
        <v>19</v>
      </c>
      <c r="M594" s="4">
        <f t="shared" si="37"/>
        <v>7.6899999999999977</v>
      </c>
      <c r="N594" s="6">
        <f t="shared" si="38"/>
        <v>0.1258180628272251</v>
      </c>
      <c r="O594" s="4">
        <f t="shared" si="39"/>
        <v>11896.429999999997</v>
      </c>
    </row>
    <row r="595" spans="1:15" x14ac:dyDescent="0.3">
      <c r="A595" s="3" t="s">
        <v>620</v>
      </c>
      <c r="B595" s="3" t="s">
        <v>17</v>
      </c>
      <c r="C595" s="5">
        <v>45048</v>
      </c>
      <c r="D595" s="5">
        <v>45066</v>
      </c>
      <c r="E595" s="3" t="s">
        <v>13</v>
      </c>
      <c r="F595" s="3" t="s">
        <v>14</v>
      </c>
      <c r="G595" s="3">
        <v>166</v>
      </c>
      <c r="H595" s="3">
        <v>95.65</v>
      </c>
      <c r="I595" s="3">
        <v>94.48</v>
      </c>
      <c r="J595" s="3">
        <v>23</v>
      </c>
      <c r="K595" s="3" t="s">
        <v>15</v>
      </c>
      <c r="L595" s="3">
        <f t="shared" si="36"/>
        <v>18</v>
      </c>
      <c r="M595" s="4">
        <f t="shared" si="37"/>
        <v>1.1700000000000017</v>
      </c>
      <c r="N595" s="6">
        <f t="shared" si="38"/>
        <v>1.2232096184004199E-2</v>
      </c>
      <c r="O595" s="4">
        <f t="shared" si="39"/>
        <v>194.22000000000028</v>
      </c>
    </row>
    <row r="596" spans="1:15" x14ac:dyDescent="0.3">
      <c r="A596" s="3" t="s">
        <v>621</v>
      </c>
      <c r="B596" s="3" t="s">
        <v>12</v>
      </c>
      <c r="C596" s="5">
        <v>45187</v>
      </c>
      <c r="D596" s="5">
        <v>45190</v>
      </c>
      <c r="E596" s="3" t="s">
        <v>39</v>
      </c>
      <c r="F596" s="3" t="s">
        <v>18</v>
      </c>
      <c r="G596" s="3">
        <v>1903</v>
      </c>
      <c r="H596" s="3">
        <v>83.49</v>
      </c>
      <c r="I596" s="3">
        <v>82.33</v>
      </c>
      <c r="J596" s="3">
        <v>43</v>
      </c>
      <c r="K596" s="3" t="s">
        <v>15</v>
      </c>
      <c r="L596" s="3">
        <f t="shared" si="36"/>
        <v>3</v>
      </c>
      <c r="M596" s="4">
        <f t="shared" si="37"/>
        <v>1.1599999999999966</v>
      </c>
      <c r="N596" s="6">
        <f t="shared" si="38"/>
        <v>1.3893879506527687E-2</v>
      </c>
      <c r="O596" s="4">
        <f t="shared" si="39"/>
        <v>2207.4799999999937</v>
      </c>
    </row>
    <row r="597" spans="1:15" x14ac:dyDescent="0.3">
      <c r="A597" s="3" t="s">
        <v>622</v>
      </c>
      <c r="B597" s="3" t="s">
        <v>17</v>
      </c>
      <c r="C597" s="5">
        <v>44636</v>
      </c>
      <c r="D597" s="5">
        <v>44649</v>
      </c>
      <c r="E597" s="3" t="s">
        <v>13</v>
      </c>
      <c r="F597" s="3" t="s">
        <v>33</v>
      </c>
      <c r="G597" s="3">
        <v>840</v>
      </c>
      <c r="H597" s="3">
        <v>83.42</v>
      </c>
      <c r="I597" s="3">
        <v>80.349999999999994</v>
      </c>
      <c r="J597" s="3">
        <v>153</v>
      </c>
      <c r="K597" s="3" t="s">
        <v>15</v>
      </c>
      <c r="L597" s="3">
        <f t="shared" si="36"/>
        <v>13</v>
      </c>
      <c r="M597" s="4">
        <f t="shared" si="37"/>
        <v>3.0700000000000074</v>
      </c>
      <c r="N597" s="6">
        <f t="shared" si="38"/>
        <v>3.680172620474715E-2</v>
      </c>
      <c r="O597" s="4">
        <f t="shared" si="39"/>
        <v>2578.8000000000061</v>
      </c>
    </row>
    <row r="598" spans="1:15" x14ac:dyDescent="0.3">
      <c r="A598" s="3" t="s">
        <v>623</v>
      </c>
      <c r="B598" s="3" t="s">
        <v>17</v>
      </c>
      <c r="C598" s="5">
        <v>45028</v>
      </c>
      <c r="D598" s="3"/>
      <c r="E598" s="3" t="s">
        <v>21</v>
      </c>
      <c r="F598" s="3" t="s">
        <v>18</v>
      </c>
      <c r="G598" s="3">
        <v>1200</v>
      </c>
      <c r="H598" s="3">
        <v>74.489999999999995</v>
      </c>
      <c r="I598" s="3">
        <v>64.63</v>
      </c>
      <c r="J598" s="3">
        <v>161</v>
      </c>
      <c r="K598" s="3" t="s">
        <v>15</v>
      </c>
      <c r="L598" s="3" t="str">
        <f t="shared" si="36"/>
        <v/>
      </c>
      <c r="M598" s="4">
        <f t="shared" si="37"/>
        <v>9.86</v>
      </c>
      <c r="N598" s="6">
        <f t="shared" si="38"/>
        <v>0.13236676063901195</v>
      </c>
      <c r="O598" s="4">
        <f t="shared" si="39"/>
        <v>11832</v>
      </c>
    </row>
    <row r="599" spans="1:15" x14ac:dyDescent="0.3">
      <c r="A599" s="3" t="s">
        <v>624</v>
      </c>
      <c r="B599" s="3" t="s">
        <v>20</v>
      </c>
      <c r="C599" s="5">
        <v>44986</v>
      </c>
      <c r="D599" s="5">
        <v>45003</v>
      </c>
      <c r="E599" s="3" t="s">
        <v>26</v>
      </c>
      <c r="F599" s="3" t="s">
        <v>18</v>
      </c>
      <c r="G599" s="3">
        <v>1466</v>
      </c>
      <c r="H599" s="3">
        <v>77.37</v>
      </c>
      <c r="I599" s="3">
        <v>70.349999999999994</v>
      </c>
      <c r="J599" s="3">
        <v>72</v>
      </c>
      <c r="K599" s="3" t="s">
        <v>15</v>
      </c>
      <c r="L599" s="3">
        <f t="shared" si="36"/>
        <v>17</v>
      </c>
      <c r="M599" s="4">
        <f t="shared" si="37"/>
        <v>7.0200000000000102</v>
      </c>
      <c r="N599" s="6">
        <f t="shared" si="38"/>
        <v>9.0732842186894272E-2</v>
      </c>
      <c r="O599" s="4">
        <f t="shared" si="39"/>
        <v>10291.320000000014</v>
      </c>
    </row>
    <row r="600" spans="1:15" x14ac:dyDescent="0.3">
      <c r="A600" s="3" t="s">
        <v>625</v>
      </c>
      <c r="B600" s="3" t="s">
        <v>12</v>
      </c>
      <c r="C600" s="5">
        <v>45206</v>
      </c>
      <c r="D600" s="5">
        <v>45220</v>
      </c>
      <c r="E600" s="3" t="s">
        <v>13</v>
      </c>
      <c r="F600" s="3" t="s">
        <v>18</v>
      </c>
      <c r="G600" s="3">
        <v>1981</v>
      </c>
      <c r="H600" s="3">
        <v>95.5</v>
      </c>
      <c r="I600" s="3">
        <v>94.39</v>
      </c>
      <c r="J600" s="3">
        <v>49</v>
      </c>
      <c r="K600" s="3" t="s">
        <v>15</v>
      </c>
      <c r="L600" s="3">
        <f t="shared" si="36"/>
        <v>14</v>
      </c>
      <c r="M600" s="4">
        <f t="shared" si="37"/>
        <v>1.1099999999999994</v>
      </c>
      <c r="N600" s="6">
        <f t="shared" si="38"/>
        <v>1.1623036649214654E-2</v>
      </c>
      <c r="O600" s="4">
        <f t="shared" si="39"/>
        <v>2198.9099999999989</v>
      </c>
    </row>
    <row r="601" spans="1:15" x14ac:dyDescent="0.3">
      <c r="A601" s="3" t="s">
        <v>626</v>
      </c>
      <c r="B601" s="3" t="s">
        <v>20</v>
      </c>
      <c r="C601" s="5">
        <v>45151</v>
      </c>
      <c r="D601" s="5">
        <v>45154</v>
      </c>
      <c r="E601" s="3" t="s">
        <v>24</v>
      </c>
      <c r="F601" s="3" t="s">
        <v>18</v>
      </c>
      <c r="G601" s="3">
        <v>1062</v>
      </c>
      <c r="H601" s="3">
        <v>35.549999999999997</v>
      </c>
      <c r="I601" s="3">
        <v>32.380000000000003</v>
      </c>
      <c r="J601" s="3"/>
      <c r="K601" s="3" t="s">
        <v>15</v>
      </c>
      <c r="L601" s="3">
        <f t="shared" si="36"/>
        <v>3</v>
      </c>
      <c r="M601" s="4">
        <f t="shared" si="37"/>
        <v>3.1699999999999946</v>
      </c>
      <c r="N601" s="6">
        <f t="shared" si="38"/>
        <v>8.9170182841068771E-2</v>
      </c>
      <c r="O601" s="4">
        <f t="shared" si="39"/>
        <v>3366.5399999999941</v>
      </c>
    </row>
    <row r="602" spans="1:15" x14ac:dyDescent="0.3">
      <c r="A602" s="3" t="s">
        <v>627</v>
      </c>
      <c r="B602" s="3" t="s">
        <v>12</v>
      </c>
      <c r="C602" s="5">
        <v>44761</v>
      </c>
      <c r="D602" s="5">
        <v>44772</v>
      </c>
      <c r="E602" s="3" t="s">
        <v>21</v>
      </c>
      <c r="F602" s="3" t="s">
        <v>18</v>
      </c>
      <c r="G602" s="3">
        <v>1714</v>
      </c>
      <c r="H602" s="3">
        <v>55.67</v>
      </c>
      <c r="I602" s="3">
        <v>55.09</v>
      </c>
      <c r="J602" s="3">
        <v>42</v>
      </c>
      <c r="K602" s="3" t="s">
        <v>15</v>
      </c>
      <c r="L602" s="3">
        <f t="shared" si="36"/>
        <v>11</v>
      </c>
      <c r="M602" s="4">
        <f t="shared" si="37"/>
        <v>0.57999999999999829</v>
      </c>
      <c r="N602" s="6">
        <f t="shared" si="38"/>
        <v>1.0418537812107028E-2</v>
      </c>
      <c r="O602" s="4">
        <f t="shared" si="39"/>
        <v>994.11999999999705</v>
      </c>
    </row>
    <row r="603" spans="1:15" x14ac:dyDescent="0.3">
      <c r="A603" s="3" t="s">
        <v>628</v>
      </c>
      <c r="B603" s="3" t="s">
        <v>12</v>
      </c>
      <c r="C603" s="5">
        <v>45275</v>
      </c>
      <c r="D603" s="5">
        <v>45290</v>
      </c>
      <c r="E603" s="3" t="s">
        <v>13</v>
      </c>
      <c r="F603" s="3" t="s">
        <v>18</v>
      </c>
      <c r="G603" s="3">
        <v>1131</v>
      </c>
      <c r="H603" s="3">
        <v>33.35</v>
      </c>
      <c r="I603" s="3">
        <v>31.28</v>
      </c>
      <c r="J603" s="3">
        <v>23</v>
      </c>
      <c r="K603" s="3" t="s">
        <v>15</v>
      </c>
      <c r="L603" s="3">
        <f t="shared" si="36"/>
        <v>15</v>
      </c>
      <c r="M603" s="4">
        <f t="shared" si="37"/>
        <v>2.0700000000000003</v>
      </c>
      <c r="N603" s="6">
        <f t="shared" si="38"/>
        <v>6.2068965517241385E-2</v>
      </c>
      <c r="O603" s="4">
        <f t="shared" si="39"/>
        <v>2341.1700000000005</v>
      </c>
    </row>
    <row r="604" spans="1:15" x14ac:dyDescent="0.3">
      <c r="A604" s="3" t="s">
        <v>629</v>
      </c>
      <c r="B604" s="3" t="s">
        <v>12</v>
      </c>
      <c r="C604" s="5">
        <v>44955</v>
      </c>
      <c r="D604" s="5">
        <v>44972</v>
      </c>
      <c r="E604" s="3" t="s">
        <v>13</v>
      </c>
      <c r="F604" s="3" t="s">
        <v>18</v>
      </c>
      <c r="G604" s="3">
        <v>683</v>
      </c>
      <c r="H604" s="3">
        <v>104.82</v>
      </c>
      <c r="I604" s="3">
        <v>101.34</v>
      </c>
      <c r="J604" s="3"/>
      <c r="K604" s="3" t="s">
        <v>15</v>
      </c>
      <c r="L604" s="3">
        <f t="shared" si="36"/>
        <v>17</v>
      </c>
      <c r="M604" s="4">
        <f t="shared" si="37"/>
        <v>3.4799999999999898</v>
      </c>
      <c r="N604" s="6">
        <f t="shared" si="38"/>
        <v>3.3199771036061726E-2</v>
      </c>
      <c r="O604" s="4">
        <f t="shared" si="39"/>
        <v>2376.8399999999929</v>
      </c>
    </row>
    <row r="605" spans="1:15" x14ac:dyDescent="0.3">
      <c r="A605" s="3" t="s">
        <v>630</v>
      </c>
      <c r="B605" s="3" t="s">
        <v>20</v>
      </c>
      <c r="C605" s="5">
        <v>45068</v>
      </c>
      <c r="D605" s="5">
        <v>45086</v>
      </c>
      <c r="E605" s="3" t="s">
        <v>24</v>
      </c>
      <c r="F605" s="3" t="s">
        <v>33</v>
      </c>
      <c r="G605" s="3">
        <v>562</v>
      </c>
      <c r="H605" s="3">
        <v>102.56</v>
      </c>
      <c r="I605" s="3">
        <v>90.88</v>
      </c>
      <c r="J605" s="3">
        <v>38</v>
      </c>
      <c r="K605" s="3" t="s">
        <v>15</v>
      </c>
      <c r="L605" s="3">
        <f t="shared" si="36"/>
        <v>18</v>
      </c>
      <c r="M605" s="4">
        <f t="shared" si="37"/>
        <v>11.680000000000007</v>
      </c>
      <c r="N605" s="6">
        <f t="shared" si="38"/>
        <v>0.11388455538221536</v>
      </c>
      <c r="O605" s="4">
        <f t="shared" si="39"/>
        <v>6564.1600000000035</v>
      </c>
    </row>
    <row r="606" spans="1:15" x14ac:dyDescent="0.3">
      <c r="A606" s="3" t="s">
        <v>631</v>
      </c>
      <c r="B606" s="3" t="s">
        <v>12</v>
      </c>
      <c r="C606" s="5">
        <v>44971</v>
      </c>
      <c r="D606" s="5">
        <v>44977</v>
      </c>
      <c r="E606" s="3" t="s">
        <v>39</v>
      </c>
      <c r="F606" s="3" t="s">
        <v>18</v>
      </c>
      <c r="G606" s="3">
        <v>1824</v>
      </c>
      <c r="H606" s="3">
        <v>14.43</v>
      </c>
      <c r="I606" s="3">
        <v>14.11</v>
      </c>
      <c r="J606" s="3">
        <v>36</v>
      </c>
      <c r="K606" s="3" t="s">
        <v>15</v>
      </c>
      <c r="L606" s="3">
        <f t="shared" si="36"/>
        <v>6</v>
      </c>
      <c r="M606" s="4">
        <f t="shared" si="37"/>
        <v>0.32000000000000028</v>
      </c>
      <c r="N606" s="6">
        <f t="shared" si="38"/>
        <v>2.2176022176022197E-2</v>
      </c>
      <c r="O606" s="4">
        <f t="shared" si="39"/>
        <v>583.68000000000052</v>
      </c>
    </row>
    <row r="607" spans="1:15" x14ac:dyDescent="0.3">
      <c r="A607" s="3" t="s">
        <v>632</v>
      </c>
      <c r="B607" s="3" t="s">
        <v>23</v>
      </c>
      <c r="C607" s="5">
        <v>44811</v>
      </c>
      <c r="D607" s="5">
        <v>44816</v>
      </c>
      <c r="E607" s="3" t="s">
        <v>39</v>
      </c>
      <c r="F607" s="3" t="s">
        <v>33</v>
      </c>
      <c r="G607" s="3">
        <v>851</v>
      </c>
      <c r="H607" s="3">
        <v>76.44</v>
      </c>
      <c r="I607" s="3">
        <v>74.760000000000005</v>
      </c>
      <c r="J607" s="3">
        <v>91</v>
      </c>
      <c r="K607" s="3" t="s">
        <v>15</v>
      </c>
      <c r="L607" s="3">
        <f t="shared" si="36"/>
        <v>5</v>
      </c>
      <c r="M607" s="4">
        <f t="shared" si="37"/>
        <v>1.6799999999999926</v>
      </c>
      <c r="N607" s="6">
        <f t="shared" si="38"/>
        <v>2.1978021978021883E-2</v>
      </c>
      <c r="O607" s="4">
        <f t="shared" si="39"/>
        <v>1429.6799999999937</v>
      </c>
    </row>
    <row r="608" spans="1:15" x14ac:dyDescent="0.3">
      <c r="A608" s="3" t="s">
        <v>633</v>
      </c>
      <c r="B608" s="3" t="s">
        <v>23</v>
      </c>
      <c r="C608" s="5">
        <v>44713</v>
      </c>
      <c r="D608" s="5">
        <v>44715</v>
      </c>
      <c r="E608" s="3" t="s">
        <v>13</v>
      </c>
      <c r="F608" s="3" t="s">
        <v>18</v>
      </c>
      <c r="G608" s="3">
        <v>1169</v>
      </c>
      <c r="H608" s="3">
        <v>95.6</v>
      </c>
      <c r="I608" s="3">
        <v>82.16</v>
      </c>
      <c r="J608" s="3">
        <v>103</v>
      </c>
      <c r="K608" s="3" t="s">
        <v>15</v>
      </c>
      <c r="L608" s="3">
        <f t="shared" si="36"/>
        <v>2</v>
      </c>
      <c r="M608" s="4">
        <f t="shared" si="37"/>
        <v>13.439999999999998</v>
      </c>
      <c r="N608" s="6">
        <f t="shared" si="38"/>
        <v>0.14058577405857739</v>
      </c>
      <c r="O608" s="4">
        <f t="shared" si="39"/>
        <v>15711.359999999997</v>
      </c>
    </row>
    <row r="609" spans="1:15" x14ac:dyDescent="0.3">
      <c r="A609" s="3" t="s">
        <v>634</v>
      </c>
      <c r="B609" s="3" t="s">
        <v>29</v>
      </c>
      <c r="C609" s="5">
        <v>45233</v>
      </c>
      <c r="D609" s="5">
        <v>45250</v>
      </c>
      <c r="E609" s="3" t="s">
        <v>21</v>
      </c>
      <c r="F609" s="3" t="s">
        <v>18</v>
      </c>
      <c r="G609" s="3">
        <v>1711</v>
      </c>
      <c r="H609" s="3">
        <v>29.14</v>
      </c>
      <c r="I609" s="3">
        <v>26.35</v>
      </c>
      <c r="J609" s="3">
        <v>48</v>
      </c>
      <c r="K609" s="3" t="s">
        <v>15</v>
      </c>
      <c r="L609" s="3">
        <f t="shared" si="36"/>
        <v>17</v>
      </c>
      <c r="M609" s="4">
        <f t="shared" si="37"/>
        <v>2.7899999999999991</v>
      </c>
      <c r="N609" s="6">
        <f t="shared" si="38"/>
        <v>9.5744680851063801E-2</v>
      </c>
      <c r="O609" s="4">
        <f t="shared" si="39"/>
        <v>4773.6899999999987</v>
      </c>
    </row>
    <row r="610" spans="1:15" x14ac:dyDescent="0.3">
      <c r="A610" s="3" t="s">
        <v>635</v>
      </c>
      <c r="B610" s="3" t="s">
        <v>23</v>
      </c>
      <c r="C610" s="5">
        <v>45266</v>
      </c>
      <c r="D610" s="5">
        <v>45272</v>
      </c>
      <c r="E610" s="3" t="s">
        <v>24</v>
      </c>
      <c r="F610" s="3" t="s">
        <v>35</v>
      </c>
      <c r="G610" s="3">
        <v>1191</v>
      </c>
      <c r="H610" s="3">
        <v>68.14</v>
      </c>
      <c r="I610" s="3">
        <v>61.71</v>
      </c>
      <c r="J610" s="3">
        <v>112</v>
      </c>
      <c r="K610" s="3" t="s">
        <v>15</v>
      </c>
      <c r="L610" s="3">
        <f t="shared" si="36"/>
        <v>6</v>
      </c>
      <c r="M610" s="4">
        <f t="shared" si="37"/>
        <v>6.43</v>
      </c>
      <c r="N610" s="6">
        <f t="shared" si="38"/>
        <v>9.4364543586733185E-2</v>
      </c>
      <c r="O610" s="4">
        <f t="shared" si="39"/>
        <v>7658.13</v>
      </c>
    </row>
    <row r="611" spans="1:15" x14ac:dyDescent="0.3">
      <c r="A611" s="3" t="s">
        <v>636</v>
      </c>
      <c r="B611" s="3" t="s">
        <v>29</v>
      </c>
      <c r="C611" s="5">
        <v>44567</v>
      </c>
      <c r="D611" s="5">
        <v>44575</v>
      </c>
      <c r="E611" s="3" t="s">
        <v>39</v>
      </c>
      <c r="F611" s="3" t="s">
        <v>18</v>
      </c>
      <c r="G611" s="3">
        <v>609</v>
      </c>
      <c r="H611" s="3">
        <v>92.39</v>
      </c>
      <c r="I611" s="3">
        <v>82.75</v>
      </c>
      <c r="J611" s="3">
        <v>29</v>
      </c>
      <c r="K611" s="3" t="s">
        <v>15</v>
      </c>
      <c r="L611" s="3">
        <f t="shared" si="36"/>
        <v>8</v>
      </c>
      <c r="M611" s="4">
        <f t="shared" si="37"/>
        <v>9.64</v>
      </c>
      <c r="N611" s="6">
        <f t="shared" si="38"/>
        <v>0.10434029656889274</v>
      </c>
      <c r="O611" s="4">
        <f t="shared" si="39"/>
        <v>5870.76</v>
      </c>
    </row>
    <row r="612" spans="1:15" x14ac:dyDescent="0.3">
      <c r="A612" s="3" t="s">
        <v>637</v>
      </c>
      <c r="B612" s="3" t="s">
        <v>23</v>
      </c>
      <c r="C612" s="5">
        <v>44671</v>
      </c>
      <c r="D612" s="5">
        <v>44688</v>
      </c>
      <c r="E612" s="3" t="s">
        <v>13</v>
      </c>
      <c r="F612" s="3" t="s">
        <v>18</v>
      </c>
      <c r="G612" s="3">
        <v>1674</v>
      </c>
      <c r="H612" s="3">
        <v>13.25</v>
      </c>
      <c r="I612" s="3">
        <v>11.77</v>
      </c>
      <c r="J612" s="3">
        <v>181</v>
      </c>
      <c r="K612" s="3" t="s">
        <v>15</v>
      </c>
      <c r="L612" s="3">
        <f t="shared" si="36"/>
        <v>17</v>
      </c>
      <c r="M612" s="4">
        <f t="shared" si="37"/>
        <v>1.4800000000000004</v>
      </c>
      <c r="N612" s="6">
        <f t="shared" si="38"/>
        <v>0.1116981132075472</v>
      </c>
      <c r="O612" s="4">
        <f t="shared" si="39"/>
        <v>2477.5200000000009</v>
      </c>
    </row>
    <row r="613" spans="1:15" x14ac:dyDescent="0.3">
      <c r="A613" s="3" t="s">
        <v>638</v>
      </c>
      <c r="B613" s="3" t="s">
        <v>20</v>
      </c>
      <c r="C613" s="5">
        <v>44997</v>
      </c>
      <c r="D613" s="5">
        <v>45000</v>
      </c>
      <c r="E613" s="3" t="s">
        <v>21</v>
      </c>
      <c r="F613" s="3" t="s">
        <v>18</v>
      </c>
      <c r="G613" s="3">
        <v>537</v>
      </c>
      <c r="H613" s="3">
        <v>77.86</v>
      </c>
      <c r="I613" s="3">
        <v>71.180000000000007</v>
      </c>
      <c r="J613" s="3">
        <v>20</v>
      </c>
      <c r="K613" s="3" t="s">
        <v>15</v>
      </c>
      <c r="L613" s="3">
        <f t="shared" si="36"/>
        <v>3</v>
      </c>
      <c r="M613" s="4">
        <f t="shared" si="37"/>
        <v>6.6799999999999926</v>
      </c>
      <c r="N613" s="6">
        <f t="shared" si="38"/>
        <v>8.579501669663489E-2</v>
      </c>
      <c r="O613" s="4">
        <f t="shared" si="39"/>
        <v>3587.1599999999962</v>
      </c>
    </row>
    <row r="614" spans="1:15" x14ac:dyDescent="0.3">
      <c r="A614" s="3" t="s">
        <v>639</v>
      </c>
      <c r="B614" s="3" t="s">
        <v>29</v>
      </c>
      <c r="C614" s="5">
        <v>44786</v>
      </c>
      <c r="D614" s="5">
        <v>44804</v>
      </c>
      <c r="E614" s="3" t="s">
        <v>39</v>
      </c>
      <c r="F614" s="3" t="s">
        <v>18</v>
      </c>
      <c r="G614" s="3">
        <v>1310</v>
      </c>
      <c r="H614" s="3">
        <v>38.049999999999997</v>
      </c>
      <c r="I614" s="3">
        <v>37</v>
      </c>
      <c r="J614" s="3">
        <v>45</v>
      </c>
      <c r="K614" s="3" t="s">
        <v>15</v>
      </c>
      <c r="L614" s="3">
        <f t="shared" si="36"/>
        <v>18</v>
      </c>
      <c r="M614" s="4">
        <f t="shared" si="37"/>
        <v>1.0499999999999972</v>
      </c>
      <c r="N614" s="6">
        <f t="shared" si="38"/>
        <v>2.7595269382391516E-2</v>
      </c>
      <c r="O614" s="4">
        <f t="shared" si="39"/>
        <v>1375.4999999999964</v>
      </c>
    </row>
    <row r="615" spans="1:15" x14ac:dyDescent="0.3">
      <c r="A615" s="3" t="s">
        <v>640</v>
      </c>
      <c r="B615" s="3" t="s">
        <v>17</v>
      </c>
      <c r="C615" s="5">
        <v>44742</v>
      </c>
      <c r="D615" s="5">
        <v>44752</v>
      </c>
      <c r="E615" s="3" t="s">
        <v>26</v>
      </c>
      <c r="F615" s="3" t="s">
        <v>18</v>
      </c>
      <c r="G615" s="3">
        <v>1958</v>
      </c>
      <c r="H615" s="3">
        <v>95.53</v>
      </c>
      <c r="I615" s="3">
        <v>91.72</v>
      </c>
      <c r="J615" s="3">
        <v>308</v>
      </c>
      <c r="K615" s="3" t="s">
        <v>15</v>
      </c>
      <c r="L615" s="3">
        <f t="shared" si="36"/>
        <v>10</v>
      </c>
      <c r="M615" s="4">
        <f t="shared" si="37"/>
        <v>3.8100000000000023</v>
      </c>
      <c r="N615" s="6">
        <f t="shared" si="38"/>
        <v>3.9882759342614905E-2</v>
      </c>
      <c r="O615" s="4">
        <f t="shared" si="39"/>
        <v>7459.9800000000041</v>
      </c>
    </row>
    <row r="616" spans="1:15" x14ac:dyDescent="0.3">
      <c r="A616" s="3" t="s">
        <v>641</v>
      </c>
      <c r="B616" s="3" t="s">
        <v>17</v>
      </c>
      <c r="C616" s="5">
        <v>45274</v>
      </c>
      <c r="D616" s="5">
        <v>45277</v>
      </c>
      <c r="E616" s="3" t="s">
        <v>13</v>
      </c>
      <c r="F616" s="3" t="s">
        <v>18</v>
      </c>
      <c r="G616" s="3">
        <v>946</v>
      </c>
      <c r="H616" s="3">
        <v>108.6</v>
      </c>
      <c r="I616" s="3">
        <v>101.78</v>
      </c>
      <c r="J616" s="3">
        <v>146</v>
      </c>
      <c r="K616" s="3" t="s">
        <v>15</v>
      </c>
      <c r="L616" s="3">
        <f t="shared" si="36"/>
        <v>3</v>
      </c>
      <c r="M616" s="4">
        <f t="shared" si="37"/>
        <v>6.8199999999999932</v>
      </c>
      <c r="N616" s="6">
        <f t="shared" si="38"/>
        <v>6.2799263351749485E-2</v>
      </c>
      <c r="O616" s="4">
        <f t="shared" si="39"/>
        <v>6451.7199999999939</v>
      </c>
    </row>
    <row r="617" spans="1:15" x14ac:dyDescent="0.3">
      <c r="A617" s="3" t="s">
        <v>642</v>
      </c>
      <c r="B617" s="3" t="s">
        <v>23</v>
      </c>
      <c r="C617" s="5">
        <v>45092</v>
      </c>
      <c r="D617" s="5">
        <v>45098</v>
      </c>
      <c r="E617" s="3" t="s">
        <v>24</v>
      </c>
      <c r="F617" s="3" t="s">
        <v>33</v>
      </c>
      <c r="G617" s="3">
        <v>1345</v>
      </c>
      <c r="H617" s="3">
        <v>103.06</v>
      </c>
      <c r="I617" s="3">
        <v>95.14</v>
      </c>
      <c r="J617" s="3"/>
      <c r="K617" s="3" t="s">
        <v>15</v>
      </c>
      <c r="L617" s="3">
        <f t="shared" si="36"/>
        <v>6</v>
      </c>
      <c r="M617" s="4">
        <f t="shared" si="37"/>
        <v>7.9200000000000017</v>
      </c>
      <c r="N617" s="6">
        <f t="shared" si="38"/>
        <v>7.6848437803221439E-2</v>
      </c>
      <c r="O617" s="4">
        <f t="shared" si="39"/>
        <v>10652.400000000001</v>
      </c>
    </row>
    <row r="618" spans="1:15" x14ac:dyDescent="0.3">
      <c r="A618" s="3" t="s">
        <v>643</v>
      </c>
      <c r="B618" s="3" t="s">
        <v>17</v>
      </c>
      <c r="C618" s="5">
        <v>45037</v>
      </c>
      <c r="D618" s="5">
        <v>45056</v>
      </c>
      <c r="E618" s="3" t="s">
        <v>21</v>
      </c>
      <c r="F618" s="3" t="s">
        <v>18</v>
      </c>
      <c r="G618" s="3">
        <v>1262</v>
      </c>
      <c r="H618" s="3">
        <v>56.63</v>
      </c>
      <c r="I618" s="3">
        <v>51.46</v>
      </c>
      <c r="J618" s="3"/>
      <c r="K618" s="3" t="s">
        <v>27</v>
      </c>
      <c r="L618" s="3">
        <f t="shared" si="36"/>
        <v>19</v>
      </c>
      <c r="M618" s="4">
        <f t="shared" si="37"/>
        <v>5.1700000000000017</v>
      </c>
      <c r="N618" s="6">
        <f t="shared" si="38"/>
        <v>9.1294366943316288E-2</v>
      </c>
      <c r="O618" s="4">
        <f t="shared" si="39"/>
        <v>6524.5400000000018</v>
      </c>
    </row>
    <row r="619" spans="1:15" x14ac:dyDescent="0.3">
      <c r="A619" s="3" t="s">
        <v>644</v>
      </c>
      <c r="B619" s="3" t="s">
        <v>23</v>
      </c>
      <c r="C619" s="5">
        <v>44613</v>
      </c>
      <c r="D619" s="5">
        <v>44633</v>
      </c>
      <c r="E619" s="3" t="s">
        <v>13</v>
      </c>
      <c r="F619" s="3" t="s">
        <v>35</v>
      </c>
      <c r="G619" s="3">
        <v>753</v>
      </c>
      <c r="H619" s="3">
        <v>88.02</v>
      </c>
      <c r="I619" s="3">
        <v>79.92</v>
      </c>
      <c r="J619" s="3">
        <v>75</v>
      </c>
      <c r="K619" s="3" t="s">
        <v>15</v>
      </c>
      <c r="L619" s="3">
        <f t="shared" si="36"/>
        <v>20</v>
      </c>
      <c r="M619" s="4">
        <f t="shared" si="37"/>
        <v>8.0999999999999943</v>
      </c>
      <c r="N619" s="6">
        <f t="shared" si="38"/>
        <v>9.2024539877300554E-2</v>
      </c>
      <c r="O619" s="4">
        <f t="shared" si="39"/>
        <v>6099.2999999999956</v>
      </c>
    </row>
    <row r="620" spans="1:15" x14ac:dyDescent="0.3">
      <c r="A620" s="3" t="s">
        <v>645</v>
      </c>
      <c r="B620" s="3" t="s">
        <v>23</v>
      </c>
      <c r="C620" s="5">
        <v>45132</v>
      </c>
      <c r="D620" s="5">
        <v>45152</v>
      </c>
      <c r="E620" s="3" t="s">
        <v>39</v>
      </c>
      <c r="F620" s="3" t="s">
        <v>18</v>
      </c>
      <c r="G620" s="3">
        <v>1520</v>
      </c>
      <c r="H620" s="3">
        <v>93.75</v>
      </c>
      <c r="I620" s="3">
        <v>81.63</v>
      </c>
      <c r="J620" s="3">
        <v>149</v>
      </c>
      <c r="K620" s="3" t="s">
        <v>15</v>
      </c>
      <c r="L620" s="3">
        <f t="shared" si="36"/>
        <v>20</v>
      </c>
      <c r="M620" s="4">
        <f t="shared" si="37"/>
        <v>12.120000000000005</v>
      </c>
      <c r="N620" s="6">
        <f t="shared" si="38"/>
        <v>0.12928000000000006</v>
      </c>
      <c r="O620" s="4">
        <f t="shared" si="39"/>
        <v>18422.400000000009</v>
      </c>
    </row>
    <row r="621" spans="1:15" x14ac:dyDescent="0.3">
      <c r="A621" s="3" t="s">
        <v>646</v>
      </c>
      <c r="B621" s="3" t="s">
        <v>17</v>
      </c>
      <c r="C621" s="5">
        <v>44817</v>
      </c>
      <c r="D621" s="5">
        <v>44836</v>
      </c>
      <c r="E621" s="3" t="s">
        <v>13</v>
      </c>
      <c r="F621" s="3" t="s">
        <v>18</v>
      </c>
      <c r="G621" s="3">
        <v>630</v>
      </c>
      <c r="H621" s="3">
        <v>40.270000000000003</v>
      </c>
      <c r="I621" s="3">
        <v>37.54</v>
      </c>
      <c r="J621" s="3">
        <v>76</v>
      </c>
      <c r="K621" s="3" t="s">
        <v>15</v>
      </c>
      <c r="L621" s="3">
        <f t="shared" si="36"/>
        <v>19</v>
      </c>
      <c r="M621" s="4">
        <f t="shared" si="37"/>
        <v>2.730000000000004</v>
      </c>
      <c r="N621" s="6">
        <f t="shared" si="38"/>
        <v>6.779240129128393E-2</v>
      </c>
      <c r="O621" s="4">
        <f t="shared" si="39"/>
        <v>1719.9000000000026</v>
      </c>
    </row>
    <row r="622" spans="1:15" x14ac:dyDescent="0.3">
      <c r="A622" s="3" t="s">
        <v>647</v>
      </c>
      <c r="B622" s="3" t="s">
        <v>17</v>
      </c>
      <c r="C622" s="5">
        <v>44686</v>
      </c>
      <c r="D622" s="5">
        <v>44687</v>
      </c>
      <c r="E622" s="3" t="s">
        <v>13</v>
      </c>
      <c r="F622" s="3" t="s">
        <v>18</v>
      </c>
      <c r="G622" s="3">
        <v>839</v>
      </c>
      <c r="H622" s="3">
        <v>86.29</v>
      </c>
      <c r="I622" s="3">
        <v>82.51</v>
      </c>
      <c r="J622" s="3">
        <v>110</v>
      </c>
      <c r="K622" s="3" t="s">
        <v>15</v>
      </c>
      <c r="L622" s="3">
        <f t="shared" si="36"/>
        <v>1</v>
      </c>
      <c r="M622" s="4">
        <f t="shared" si="37"/>
        <v>3.7800000000000011</v>
      </c>
      <c r="N622" s="6">
        <f t="shared" si="38"/>
        <v>4.3805771236527999E-2</v>
      </c>
      <c r="O622" s="4">
        <f t="shared" si="39"/>
        <v>3171.420000000001</v>
      </c>
    </row>
    <row r="623" spans="1:15" x14ac:dyDescent="0.3">
      <c r="A623" s="3" t="s">
        <v>648</v>
      </c>
      <c r="B623" s="3" t="s">
        <v>12</v>
      </c>
      <c r="C623" s="5">
        <v>45029</v>
      </c>
      <c r="D623" s="5">
        <v>45048</v>
      </c>
      <c r="E623" s="3" t="s">
        <v>39</v>
      </c>
      <c r="F623" s="3" t="s">
        <v>18</v>
      </c>
      <c r="G623" s="3">
        <v>910</v>
      </c>
      <c r="H623" s="3">
        <v>14.33</v>
      </c>
      <c r="I623" s="3">
        <v>14.07</v>
      </c>
      <c r="J623" s="3">
        <v>27</v>
      </c>
      <c r="K623" s="3" t="s">
        <v>15</v>
      </c>
      <c r="L623" s="3">
        <f t="shared" si="36"/>
        <v>19</v>
      </c>
      <c r="M623" s="4">
        <f t="shared" si="37"/>
        <v>0.25999999999999979</v>
      </c>
      <c r="N623" s="6">
        <f t="shared" si="38"/>
        <v>1.81437543614794E-2</v>
      </c>
      <c r="O623" s="4">
        <f t="shared" si="39"/>
        <v>236.5999999999998</v>
      </c>
    </row>
    <row r="624" spans="1:15" x14ac:dyDescent="0.3">
      <c r="A624" s="3" t="s">
        <v>649</v>
      </c>
      <c r="B624" s="3" t="s">
        <v>29</v>
      </c>
      <c r="C624" s="5">
        <v>44698</v>
      </c>
      <c r="D624" s="5">
        <v>44705</v>
      </c>
      <c r="E624" s="3" t="s">
        <v>26</v>
      </c>
      <c r="F624" s="3" t="s">
        <v>18</v>
      </c>
      <c r="G624" s="3">
        <v>296</v>
      </c>
      <c r="H624" s="3">
        <v>64.94</v>
      </c>
      <c r="I624" s="3">
        <v>63.61</v>
      </c>
      <c r="J624" s="3"/>
      <c r="K624" s="3" t="s">
        <v>15</v>
      </c>
      <c r="L624" s="3">
        <f t="shared" si="36"/>
        <v>7</v>
      </c>
      <c r="M624" s="4">
        <f t="shared" si="37"/>
        <v>1.3299999999999983</v>
      </c>
      <c r="N624" s="6">
        <f t="shared" si="38"/>
        <v>2.0480443486295016E-2</v>
      </c>
      <c r="O624" s="4">
        <f t="shared" si="39"/>
        <v>393.6799999999995</v>
      </c>
    </row>
    <row r="625" spans="1:15" x14ac:dyDescent="0.3">
      <c r="A625" s="3" t="s">
        <v>650</v>
      </c>
      <c r="B625" s="3" t="s">
        <v>23</v>
      </c>
      <c r="C625" s="5">
        <v>45037</v>
      </c>
      <c r="D625" s="5">
        <v>45051</v>
      </c>
      <c r="E625" s="3" t="s">
        <v>21</v>
      </c>
      <c r="F625" s="3" t="s">
        <v>18</v>
      </c>
      <c r="G625" s="3">
        <v>1149</v>
      </c>
      <c r="H625" s="3">
        <v>33</v>
      </c>
      <c r="I625" s="3">
        <v>30.65</v>
      </c>
      <c r="J625" s="3">
        <v>141</v>
      </c>
      <c r="K625" s="3" t="s">
        <v>15</v>
      </c>
      <c r="L625" s="3">
        <f t="shared" si="36"/>
        <v>14</v>
      </c>
      <c r="M625" s="4">
        <f t="shared" si="37"/>
        <v>2.3500000000000014</v>
      </c>
      <c r="N625" s="6">
        <f t="shared" si="38"/>
        <v>7.1212121212121254E-2</v>
      </c>
      <c r="O625" s="4">
        <f t="shared" si="39"/>
        <v>2700.1500000000015</v>
      </c>
    </row>
    <row r="626" spans="1:15" x14ac:dyDescent="0.3">
      <c r="A626" s="3" t="s">
        <v>651</v>
      </c>
      <c r="B626" s="3" t="s">
        <v>17</v>
      </c>
      <c r="C626" s="5">
        <v>45245</v>
      </c>
      <c r="D626" s="5">
        <v>45246</v>
      </c>
      <c r="E626" s="3" t="s">
        <v>39</v>
      </c>
      <c r="F626" s="3" t="s">
        <v>18</v>
      </c>
      <c r="G626" s="3">
        <v>203</v>
      </c>
      <c r="H626" s="3">
        <v>23.14</v>
      </c>
      <c r="I626" s="3">
        <v>20</v>
      </c>
      <c r="J626" s="3"/>
      <c r="K626" s="3" t="s">
        <v>27</v>
      </c>
      <c r="L626" s="3">
        <f t="shared" si="36"/>
        <v>1</v>
      </c>
      <c r="M626" s="4">
        <f t="shared" si="37"/>
        <v>3.1400000000000006</v>
      </c>
      <c r="N626" s="6">
        <f t="shared" si="38"/>
        <v>0.13569576490924809</v>
      </c>
      <c r="O626" s="4">
        <f t="shared" si="39"/>
        <v>637.42000000000007</v>
      </c>
    </row>
    <row r="627" spans="1:15" x14ac:dyDescent="0.3">
      <c r="A627" s="3" t="s">
        <v>652</v>
      </c>
      <c r="B627" s="3" t="s">
        <v>29</v>
      </c>
      <c r="C627" s="5">
        <v>45105</v>
      </c>
      <c r="D627" s="5">
        <v>45123</v>
      </c>
      <c r="E627" s="3" t="s">
        <v>13</v>
      </c>
      <c r="F627" s="3" t="s">
        <v>18</v>
      </c>
      <c r="G627" s="3">
        <v>1729</v>
      </c>
      <c r="H627" s="3">
        <v>18.36</v>
      </c>
      <c r="I627" s="3">
        <v>16.34</v>
      </c>
      <c r="J627" s="3">
        <v>47</v>
      </c>
      <c r="K627" s="3" t="s">
        <v>15</v>
      </c>
      <c r="L627" s="3">
        <f t="shared" si="36"/>
        <v>18</v>
      </c>
      <c r="M627" s="4">
        <f t="shared" si="37"/>
        <v>2.0199999999999996</v>
      </c>
      <c r="N627" s="6">
        <f t="shared" si="38"/>
        <v>0.11002178649237471</v>
      </c>
      <c r="O627" s="4">
        <f t="shared" si="39"/>
        <v>3492.5799999999995</v>
      </c>
    </row>
    <row r="628" spans="1:15" x14ac:dyDescent="0.3">
      <c r="A628" s="3" t="s">
        <v>653</v>
      </c>
      <c r="B628" s="3" t="s">
        <v>17</v>
      </c>
      <c r="C628" s="5">
        <v>45134</v>
      </c>
      <c r="D628" s="5">
        <v>45144</v>
      </c>
      <c r="E628" s="3" t="s">
        <v>13</v>
      </c>
      <c r="F628" s="3" t="s">
        <v>18</v>
      </c>
      <c r="G628" s="3">
        <v>1508</v>
      </c>
      <c r="H628" s="3">
        <v>79.209999999999994</v>
      </c>
      <c r="I628" s="3">
        <v>73.27</v>
      </c>
      <c r="J628" s="3">
        <v>226</v>
      </c>
      <c r="K628" s="3" t="s">
        <v>15</v>
      </c>
      <c r="L628" s="3">
        <f t="shared" si="36"/>
        <v>10</v>
      </c>
      <c r="M628" s="4">
        <f t="shared" si="37"/>
        <v>5.9399999999999977</v>
      </c>
      <c r="N628" s="6">
        <f t="shared" si="38"/>
        <v>7.4990531498548146E-2</v>
      </c>
      <c r="O628" s="4">
        <f t="shared" si="39"/>
        <v>8957.5199999999968</v>
      </c>
    </row>
    <row r="629" spans="1:15" x14ac:dyDescent="0.3">
      <c r="A629" s="3" t="s">
        <v>654</v>
      </c>
      <c r="B629" s="3" t="s">
        <v>17</v>
      </c>
      <c r="C629" s="5">
        <v>45171</v>
      </c>
      <c r="D629" s="5">
        <v>45184</v>
      </c>
      <c r="E629" s="3" t="s">
        <v>24</v>
      </c>
      <c r="F629" s="3" t="s">
        <v>33</v>
      </c>
      <c r="G629" s="3">
        <v>1046</v>
      </c>
      <c r="H629" s="3">
        <v>44.65</v>
      </c>
      <c r="I629" s="3">
        <v>40.1</v>
      </c>
      <c r="J629" s="3">
        <v>165</v>
      </c>
      <c r="K629" s="3" t="s">
        <v>27</v>
      </c>
      <c r="L629" s="3">
        <f t="shared" si="36"/>
        <v>13</v>
      </c>
      <c r="M629" s="4">
        <f t="shared" si="37"/>
        <v>4.5499999999999972</v>
      </c>
      <c r="N629" s="6">
        <f t="shared" si="38"/>
        <v>0.10190369540873455</v>
      </c>
      <c r="O629" s="4">
        <f t="shared" si="39"/>
        <v>4759.2999999999975</v>
      </c>
    </row>
    <row r="630" spans="1:15" x14ac:dyDescent="0.3">
      <c r="A630" s="3" t="s">
        <v>655</v>
      </c>
      <c r="B630" s="3" t="s">
        <v>12</v>
      </c>
      <c r="C630" s="5">
        <v>44886</v>
      </c>
      <c r="D630" s="5">
        <v>44889</v>
      </c>
      <c r="E630" s="3" t="s">
        <v>13</v>
      </c>
      <c r="F630" s="3" t="s">
        <v>18</v>
      </c>
      <c r="G630" s="3">
        <v>1159</v>
      </c>
      <c r="H630" s="3">
        <v>78.989999999999995</v>
      </c>
      <c r="I630" s="3">
        <v>71.69</v>
      </c>
      <c r="J630" s="3">
        <v>14</v>
      </c>
      <c r="K630" s="3" t="s">
        <v>15</v>
      </c>
      <c r="L630" s="3">
        <f t="shared" si="36"/>
        <v>3</v>
      </c>
      <c r="M630" s="4">
        <f t="shared" si="37"/>
        <v>7.2999999999999972</v>
      </c>
      <c r="N630" s="6">
        <f t="shared" si="38"/>
        <v>9.2416761615394319E-2</v>
      </c>
      <c r="O630" s="4">
        <f t="shared" si="39"/>
        <v>8460.6999999999971</v>
      </c>
    </row>
    <row r="631" spans="1:15" x14ac:dyDescent="0.3">
      <c r="A631" s="3" t="s">
        <v>656</v>
      </c>
      <c r="B631" s="3" t="s">
        <v>23</v>
      </c>
      <c r="C631" s="5">
        <v>45015</v>
      </c>
      <c r="D631" s="5">
        <v>45021</v>
      </c>
      <c r="E631" s="3" t="s">
        <v>39</v>
      </c>
      <c r="F631" s="3" t="s">
        <v>18</v>
      </c>
      <c r="G631" s="3">
        <v>746</v>
      </c>
      <c r="H631" s="3">
        <v>16.989999999999998</v>
      </c>
      <c r="I631" s="3">
        <v>15.35</v>
      </c>
      <c r="J631" s="3">
        <v>69</v>
      </c>
      <c r="K631" s="3" t="s">
        <v>27</v>
      </c>
      <c r="L631" s="3">
        <f t="shared" si="36"/>
        <v>6</v>
      </c>
      <c r="M631" s="4">
        <f t="shared" si="37"/>
        <v>1.6399999999999988</v>
      </c>
      <c r="N631" s="6">
        <f t="shared" si="38"/>
        <v>9.6527369040612057E-2</v>
      </c>
      <c r="O631" s="4">
        <f t="shared" si="39"/>
        <v>1223.4399999999991</v>
      </c>
    </row>
    <row r="632" spans="1:15" x14ac:dyDescent="0.3">
      <c r="A632" s="3" t="s">
        <v>657</v>
      </c>
      <c r="B632" s="3" t="s">
        <v>23</v>
      </c>
      <c r="C632" s="5">
        <v>45189</v>
      </c>
      <c r="D632" s="5">
        <v>45205</v>
      </c>
      <c r="E632" s="3" t="s">
        <v>24</v>
      </c>
      <c r="F632" s="3" t="s">
        <v>18</v>
      </c>
      <c r="G632" s="3">
        <v>1358</v>
      </c>
      <c r="H632" s="3">
        <v>42.21</v>
      </c>
      <c r="I632" s="3">
        <v>38.75</v>
      </c>
      <c r="J632" s="3">
        <v>128</v>
      </c>
      <c r="K632" s="3" t="s">
        <v>15</v>
      </c>
      <c r="L632" s="3">
        <f t="shared" si="36"/>
        <v>16</v>
      </c>
      <c r="M632" s="4">
        <f t="shared" si="37"/>
        <v>3.4600000000000009</v>
      </c>
      <c r="N632" s="6">
        <f t="shared" si="38"/>
        <v>8.1971096896470044E-2</v>
      </c>
      <c r="O632" s="4">
        <f t="shared" si="39"/>
        <v>4698.6800000000012</v>
      </c>
    </row>
    <row r="633" spans="1:15" x14ac:dyDescent="0.3">
      <c r="A633" s="3" t="s">
        <v>658</v>
      </c>
      <c r="B633" s="3" t="s">
        <v>20</v>
      </c>
      <c r="C633" s="5">
        <v>45078</v>
      </c>
      <c r="D633" s="5">
        <v>45089</v>
      </c>
      <c r="E633" s="3" t="s">
        <v>13</v>
      </c>
      <c r="F633" s="3" t="s">
        <v>18</v>
      </c>
      <c r="G633" s="3">
        <v>1293</v>
      </c>
      <c r="H633" s="3">
        <v>63.53</v>
      </c>
      <c r="I633" s="3">
        <v>59.42</v>
      </c>
      <c r="J633" s="3">
        <v>79</v>
      </c>
      <c r="K633" s="3" t="s">
        <v>15</v>
      </c>
      <c r="L633" s="3">
        <f t="shared" si="36"/>
        <v>11</v>
      </c>
      <c r="M633" s="4">
        <f t="shared" si="37"/>
        <v>4.1099999999999994</v>
      </c>
      <c r="N633" s="6">
        <f t="shared" si="38"/>
        <v>6.4693845427357149E-2</v>
      </c>
      <c r="O633" s="4">
        <f t="shared" si="39"/>
        <v>5314.23</v>
      </c>
    </row>
    <row r="634" spans="1:15" x14ac:dyDescent="0.3">
      <c r="A634" s="3" t="s">
        <v>659</v>
      </c>
      <c r="B634" s="3" t="s">
        <v>12</v>
      </c>
      <c r="C634" s="5">
        <v>44998</v>
      </c>
      <c r="D634" s="5">
        <v>45009</v>
      </c>
      <c r="E634" s="3" t="s">
        <v>39</v>
      </c>
      <c r="F634" s="3" t="s">
        <v>18</v>
      </c>
      <c r="G634" s="3">
        <v>1142</v>
      </c>
      <c r="H634" s="3">
        <v>86.85</v>
      </c>
      <c r="I634" s="3">
        <v>74.28</v>
      </c>
      <c r="J634" s="3">
        <v>30</v>
      </c>
      <c r="K634" s="3" t="s">
        <v>15</v>
      </c>
      <c r="L634" s="3">
        <f t="shared" si="36"/>
        <v>11</v>
      </c>
      <c r="M634" s="4">
        <f t="shared" si="37"/>
        <v>12.569999999999993</v>
      </c>
      <c r="N634" s="6">
        <f t="shared" si="38"/>
        <v>0.14473229706390323</v>
      </c>
      <c r="O634" s="4">
        <f t="shared" si="39"/>
        <v>14354.939999999991</v>
      </c>
    </row>
    <row r="635" spans="1:15" x14ac:dyDescent="0.3">
      <c r="A635" s="3" t="s">
        <v>660</v>
      </c>
      <c r="B635" s="3" t="s">
        <v>29</v>
      </c>
      <c r="C635" s="5">
        <v>45123</v>
      </c>
      <c r="D635" s="5">
        <v>45134</v>
      </c>
      <c r="E635" s="3" t="s">
        <v>21</v>
      </c>
      <c r="F635" s="3" t="s">
        <v>18</v>
      </c>
      <c r="G635" s="3">
        <v>1120</v>
      </c>
      <c r="H635" s="3">
        <v>42.17</v>
      </c>
      <c r="I635" s="3">
        <v>37.47</v>
      </c>
      <c r="J635" s="3">
        <v>33</v>
      </c>
      <c r="K635" s="3" t="s">
        <v>15</v>
      </c>
      <c r="L635" s="3">
        <f t="shared" si="36"/>
        <v>11</v>
      </c>
      <c r="M635" s="4">
        <f t="shared" si="37"/>
        <v>4.7000000000000028</v>
      </c>
      <c r="N635" s="6">
        <f t="shared" si="38"/>
        <v>0.11145364002845631</v>
      </c>
      <c r="O635" s="4">
        <f t="shared" si="39"/>
        <v>5264.0000000000036</v>
      </c>
    </row>
    <row r="636" spans="1:15" x14ac:dyDescent="0.3">
      <c r="A636" s="3" t="s">
        <v>661</v>
      </c>
      <c r="B636" s="3" t="s">
        <v>12</v>
      </c>
      <c r="C636" s="5">
        <v>45018</v>
      </c>
      <c r="D636" s="5">
        <v>45030</v>
      </c>
      <c r="E636" s="3" t="s">
        <v>21</v>
      </c>
      <c r="F636" s="3" t="s">
        <v>18</v>
      </c>
      <c r="G636" s="3">
        <v>1058</v>
      </c>
      <c r="H636" s="3">
        <v>71.3</v>
      </c>
      <c r="I636" s="3">
        <v>62.04</v>
      </c>
      <c r="J636" s="3"/>
      <c r="K636" s="3" t="s">
        <v>15</v>
      </c>
      <c r="L636" s="3">
        <f t="shared" si="36"/>
        <v>12</v>
      </c>
      <c r="M636" s="4">
        <f t="shared" si="37"/>
        <v>9.259999999999998</v>
      </c>
      <c r="N636" s="6">
        <f t="shared" si="38"/>
        <v>0.12987377279102383</v>
      </c>
      <c r="O636" s="4">
        <f t="shared" si="39"/>
        <v>9797.0799999999981</v>
      </c>
    </row>
    <row r="637" spans="1:15" x14ac:dyDescent="0.3">
      <c r="A637" s="3" t="s">
        <v>662</v>
      </c>
      <c r="B637" s="3" t="s">
        <v>29</v>
      </c>
      <c r="C637" s="5">
        <v>44724</v>
      </c>
      <c r="D637" s="3"/>
      <c r="E637" s="3" t="s">
        <v>13</v>
      </c>
      <c r="F637" s="3" t="s">
        <v>18</v>
      </c>
      <c r="G637" s="3">
        <v>143</v>
      </c>
      <c r="H637" s="3">
        <v>91.98</v>
      </c>
      <c r="I637" s="3">
        <v>86.02</v>
      </c>
      <c r="J637" s="3">
        <v>5</v>
      </c>
      <c r="K637" s="3" t="s">
        <v>15</v>
      </c>
      <c r="L637" s="3" t="str">
        <f t="shared" si="36"/>
        <v/>
      </c>
      <c r="M637" s="4">
        <f t="shared" si="37"/>
        <v>5.960000000000008</v>
      </c>
      <c r="N637" s="6">
        <f t="shared" si="38"/>
        <v>6.4796694933681315E-2</v>
      </c>
      <c r="O637" s="4">
        <f t="shared" si="39"/>
        <v>852.28000000000111</v>
      </c>
    </row>
    <row r="638" spans="1:15" x14ac:dyDescent="0.3">
      <c r="A638" s="3" t="s">
        <v>663</v>
      </c>
      <c r="B638" s="3" t="s">
        <v>23</v>
      </c>
      <c r="C638" s="5">
        <v>45048</v>
      </c>
      <c r="D638" s="5">
        <v>45060</v>
      </c>
      <c r="E638" s="3" t="s">
        <v>21</v>
      </c>
      <c r="F638" s="3" t="s">
        <v>18</v>
      </c>
      <c r="G638" s="3">
        <v>1823</v>
      </c>
      <c r="H638" s="3">
        <v>70.66</v>
      </c>
      <c r="I638" s="3">
        <v>66.92</v>
      </c>
      <c r="J638" s="3">
        <v>202</v>
      </c>
      <c r="K638" s="3" t="s">
        <v>15</v>
      </c>
      <c r="L638" s="3">
        <f t="shared" si="36"/>
        <v>12</v>
      </c>
      <c r="M638" s="4">
        <f t="shared" si="37"/>
        <v>3.7399999999999949</v>
      </c>
      <c r="N638" s="6">
        <f t="shared" si="38"/>
        <v>5.2929521652986061E-2</v>
      </c>
      <c r="O638" s="4">
        <f t="shared" si="39"/>
        <v>6818.0199999999904</v>
      </c>
    </row>
    <row r="639" spans="1:15" x14ac:dyDescent="0.3">
      <c r="A639" s="3" t="s">
        <v>664</v>
      </c>
      <c r="B639" s="3" t="s">
        <v>20</v>
      </c>
      <c r="C639" s="5">
        <v>45022</v>
      </c>
      <c r="D639" s="5">
        <v>45026</v>
      </c>
      <c r="E639" s="3" t="s">
        <v>13</v>
      </c>
      <c r="F639" s="3" t="s">
        <v>18</v>
      </c>
      <c r="G639" s="3">
        <v>1007</v>
      </c>
      <c r="H639" s="3">
        <v>33.29</v>
      </c>
      <c r="I639" s="3">
        <v>28.48</v>
      </c>
      <c r="J639" s="3">
        <v>49</v>
      </c>
      <c r="K639" s="3" t="s">
        <v>15</v>
      </c>
      <c r="L639" s="3">
        <f t="shared" si="36"/>
        <v>4</v>
      </c>
      <c r="M639" s="4">
        <f t="shared" si="37"/>
        <v>4.8099999999999987</v>
      </c>
      <c r="N639" s="6">
        <f t="shared" si="38"/>
        <v>0.14448783418443975</v>
      </c>
      <c r="O639" s="4">
        <f t="shared" si="39"/>
        <v>4843.6699999999992</v>
      </c>
    </row>
    <row r="640" spans="1:15" x14ac:dyDescent="0.3">
      <c r="A640" s="3" t="s">
        <v>665</v>
      </c>
      <c r="B640" s="3" t="s">
        <v>20</v>
      </c>
      <c r="C640" s="5">
        <v>44827</v>
      </c>
      <c r="D640" s="5">
        <v>44842</v>
      </c>
      <c r="E640" s="3" t="s">
        <v>24</v>
      </c>
      <c r="F640" s="3" t="s">
        <v>18</v>
      </c>
      <c r="G640" s="3">
        <v>1061</v>
      </c>
      <c r="H640" s="3">
        <v>12.68</v>
      </c>
      <c r="I640" s="3">
        <v>12.36</v>
      </c>
      <c r="J640" s="3">
        <v>56</v>
      </c>
      <c r="K640" s="3" t="s">
        <v>27</v>
      </c>
      <c r="L640" s="3">
        <f t="shared" si="36"/>
        <v>15</v>
      </c>
      <c r="M640" s="4">
        <f t="shared" si="37"/>
        <v>0.32000000000000028</v>
      </c>
      <c r="N640" s="6">
        <f t="shared" si="38"/>
        <v>2.5236593059936932E-2</v>
      </c>
      <c r="O640" s="4">
        <f t="shared" si="39"/>
        <v>339.52000000000032</v>
      </c>
    </row>
    <row r="641" spans="1:15" x14ac:dyDescent="0.3">
      <c r="A641" s="3" t="s">
        <v>666</v>
      </c>
      <c r="B641" s="3" t="s">
        <v>23</v>
      </c>
      <c r="C641" s="5">
        <v>44815</v>
      </c>
      <c r="D641" s="5">
        <v>44830</v>
      </c>
      <c r="E641" s="3" t="s">
        <v>21</v>
      </c>
      <c r="F641" s="3" t="s">
        <v>35</v>
      </c>
      <c r="G641" s="3">
        <v>502</v>
      </c>
      <c r="H641" s="3">
        <v>91.84</v>
      </c>
      <c r="I641" s="3">
        <v>82.33</v>
      </c>
      <c r="J641" s="3"/>
      <c r="K641" s="3" t="s">
        <v>15</v>
      </c>
      <c r="L641" s="3">
        <f t="shared" si="36"/>
        <v>15</v>
      </c>
      <c r="M641" s="4">
        <f t="shared" si="37"/>
        <v>9.5100000000000051</v>
      </c>
      <c r="N641" s="6">
        <f t="shared" si="38"/>
        <v>0.10354965156794431</v>
      </c>
      <c r="O641" s="4">
        <f t="shared" si="39"/>
        <v>4774.0200000000023</v>
      </c>
    </row>
    <row r="642" spans="1:15" x14ac:dyDescent="0.3">
      <c r="A642" s="3" t="s">
        <v>667</v>
      </c>
      <c r="B642" s="3" t="s">
        <v>17</v>
      </c>
      <c r="C642" s="5">
        <v>45214</v>
      </c>
      <c r="D642" s="5">
        <v>45218</v>
      </c>
      <c r="E642" s="3" t="s">
        <v>24</v>
      </c>
      <c r="F642" s="3" t="s">
        <v>18</v>
      </c>
      <c r="G642" s="3">
        <v>1277</v>
      </c>
      <c r="H642" s="3">
        <v>13.17</v>
      </c>
      <c r="I642" s="3">
        <v>11.63</v>
      </c>
      <c r="J642" s="3">
        <v>199</v>
      </c>
      <c r="K642" s="3" t="s">
        <v>27</v>
      </c>
      <c r="L642" s="3">
        <f t="shared" si="36"/>
        <v>4</v>
      </c>
      <c r="M642" s="4">
        <f t="shared" si="37"/>
        <v>1.5399999999999991</v>
      </c>
      <c r="N642" s="6">
        <f t="shared" si="38"/>
        <v>0.11693242217160206</v>
      </c>
      <c r="O642" s="4">
        <f t="shared" si="39"/>
        <v>1966.579999999999</v>
      </c>
    </row>
    <row r="643" spans="1:15" x14ac:dyDescent="0.3">
      <c r="A643" s="3" t="s">
        <v>668</v>
      </c>
      <c r="B643" s="3" t="s">
        <v>12</v>
      </c>
      <c r="C643" s="5">
        <v>44845</v>
      </c>
      <c r="D643" s="5">
        <v>44858</v>
      </c>
      <c r="E643" s="3" t="s">
        <v>24</v>
      </c>
      <c r="F643" s="3" t="s">
        <v>18</v>
      </c>
      <c r="G643" s="3">
        <v>961</v>
      </c>
      <c r="H643" s="3">
        <v>92.72</v>
      </c>
      <c r="I643" s="3">
        <v>88.49</v>
      </c>
      <c r="J643" s="3">
        <v>22</v>
      </c>
      <c r="K643" s="3" t="s">
        <v>15</v>
      </c>
      <c r="L643" s="3">
        <f t="shared" ref="L643:L706" si="40">IF(OR(C643="",D643=""),"",D643-C643)</f>
        <v>13</v>
      </c>
      <c r="M643" s="4">
        <f t="shared" ref="M643:M706" si="41">H643-I643</f>
        <v>4.230000000000004</v>
      </c>
      <c r="N643" s="6">
        <f t="shared" ref="N643:N706" si="42">IFERROR((H643-I643)/H643,0)</f>
        <v>4.5621225194132919E-2</v>
      </c>
      <c r="O643" s="4">
        <f t="shared" ref="O643:O706" si="43">(H643-I643)*G643</f>
        <v>4065.0300000000038</v>
      </c>
    </row>
    <row r="644" spans="1:15" x14ac:dyDescent="0.3">
      <c r="A644" s="3" t="s">
        <v>669</v>
      </c>
      <c r="B644" s="3" t="s">
        <v>20</v>
      </c>
      <c r="C644" s="5">
        <v>45095</v>
      </c>
      <c r="D644" s="5">
        <v>45109</v>
      </c>
      <c r="E644" s="3" t="s">
        <v>24</v>
      </c>
      <c r="F644" s="3" t="s">
        <v>18</v>
      </c>
      <c r="G644" s="3">
        <v>267</v>
      </c>
      <c r="H644" s="3">
        <v>62.5</v>
      </c>
      <c r="I644" s="3">
        <v>61.18</v>
      </c>
      <c r="J644" s="3">
        <v>17</v>
      </c>
      <c r="K644" s="3" t="s">
        <v>15</v>
      </c>
      <c r="L644" s="3">
        <f t="shared" si="40"/>
        <v>14</v>
      </c>
      <c r="M644" s="4">
        <f t="shared" si="41"/>
        <v>1.3200000000000003</v>
      </c>
      <c r="N644" s="6">
        <f t="shared" si="42"/>
        <v>2.1120000000000003E-2</v>
      </c>
      <c r="O644" s="4">
        <f t="shared" si="43"/>
        <v>352.44000000000005</v>
      </c>
    </row>
    <row r="645" spans="1:15" x14ac:dyDescent="0.3">
      <c r="A645" s="3" t="s">
        <v>670</v>
      </c>
      <c r="B645" s="3" t="s">
        <v>17</v>
      </c>
      <c r="C645" s="5">
        <v>45058</v>
      </c>
      <c r="D645" s="5">
        <v>45064</v>
      </c>
      <c r="E645" s="3" t="s">
        <v>26</v>
      </c>
      <c r="F645" s="3" t="s">
        <v>14</v>
      </c>
      <c r="G645" s="3">
        <v>523</v>
      </c>
      <c r="H645" s="3">
        <v>102.08</v>
      </c>
      <c r="I645" s="3">
        <v>99.59</v>
      </c>
      <c r="J645" s="3"/>
      <c r="K645" s="3" t="s">
        <v>15</v>
      </c>
      <c r="L645" s="3">
        <f t="shared" si="40"/>
        <v>6</v>
      </c>
      <c r="M645" s="4">
        <f t="shared" si="41"/>
        <v>2.4899999999999949</v>
      </c>
      <c r="N645" s="6">
        <f t="shared" si="42"/>
        <v>2.4392633228840076E-2</v>
      </c>
      <c r="O645" s="4">
        <f t="shared" si="43"/>
        <v>1302.2699999999973</v>
      </c>
    </row>
    <row r="646" spans="1:15" x14ac:dyDescent="0.3">
      <c r="A646" s="3" t="s">
        <v>671</v>
      </c>
      <c r="B646" s="3" t="s">
        <v>29</v>
      </c>
      <c r="C646" s="5">
        <v>45203</v>
      </c>
      <c r="D646" s="5">
        <v>45222</v>
      </c>
      <c r="E646" s="3" t="s">
        <v>39</v>
      </c>
      <c r="F646" s="3" t="s">
        <v>35</v>
      </c>
      <c r="G646" s="3">
        <v>481</v>
      </c>
      <c r="H646" s="3">
        <v>90.49</v>
      </c>
      <c r="I646" s="3">
        <v>77.17</v>
      </c>
      <c r="J646" s="3"/>
      <c r="K646" s="3" t="s">
        <v>15</v>
      </c>
      <c r="L646" s="3">
        <f t="shared" si="40"/>
        <v>19</v>
      </c>
      <c r="M646" s="4">
        <f t="shared" si="41"/>
        <v>13.319999999999993</v>
      </c>
      <c r="N646" s="6">
        <f t="shared" si="42"/>
        <v>0.1471985854790584</v>
      </c>
      <c r="O646" s="4">
        <f t="shared" si="43"/>
        <v>6406.9199999999964</v>
      </c>
    </row>
    <row r="647" spans="1:15" x14ac:dyDescent="0.3">
      <c r="A647" s="3" t="s">
        <v>672</v>
      </c>
      <c r="B647" s="3" t="s">
        <v>20</v>
      </c>
      <c r="C647" s="5">
        <v>44806</v>
      </c>
      <c r="D647" s="5">
        <v>44813</v>
      </c>
      <c r="E647" s="3" t="s">
        <v>13</v>
      </c>
      <c r="F647" s="3" t="s">
        <v>18</v>
      </c>
      <c r="G647" s="3">
        <v>390</v>
      </c>
      <c r="H647" s="3">
        <v>103.81</v>
      </c>
      <c r="I647" s="3">
        <v>100.12</v>
      </c>
      <c r="J647" s="3">
        <v>20</v>
      </c>
      <c r="K647" s="3" t="s">
        <v>15</v>
      </c>
      <c r="L647" s="3">
        <f t="shared" si="40"/>
        <v>7</v>
      </c>
      <c r="M647" s="4">
        <f t="shared" si="41"/>
        <v>3.6899999999999977</v>
      </c>
      <c r="N647" s="6">
        <f t="shared" si="42"/>
        <v>3.5545708505924263E-2</v>
      </c>
      <c r="O647" s="4">
        <f t="shared" si="43"/>
        <v>1439.099999999999</v>
      </c>
    </row>
    <row r="648" spans="1:15" x14ac:dyDescent="0.3">
      <c r="A648" s="3" t="s">
        <v>673</v>
      </c>
      <c r="B648" s="3" t="s">
        <v>29</v>
      </c>
      <c r="C648" s="5">
        <v>44843</v>
      </c>
      <c r="D648" s="5">
        <v>44859</v>
      </c>
      <c r="E648" s="3" t="s">
        <v>24</v>
      </c>
      <c r="F648" s="3" t="s">
        <v>18</v>
      </c>
      <c r="G648" s="3">
        <v>600</v>
      </c>
      <c r="H648" s="3">
        <v>43.43</v>
      </c>
      <c r="I648" s="3">
        <v>38.76</v>
      </c>
      <c r="J648" s="3">
        <v>22</v>
      </c>
      <c r="K648" s="3" t="s">
        <v>15</v>
      </c>
      <c r="L648" s="3">
        <f t="shared" si="40"/>
        <v>16</v>
      </c>
      <c r="M648" s="4">
        <f t="shared" si="41"/>
        <v>4.6700000000000017</v>
      </c>
      <c r="N648" s="6">
        <f t="shared" si="42"/>
        <v>0.10752935758692152</v>
      </c>
      <c r="O648" s="4">
        <f t="shared" si="43"/>
        <v>2802.0000000000009</v>
      </c>
    </row>
    <row r="649" spans="1:15" x14ac:dyDescent="0.3">
      <c r="A649" s="3" t="s">
        <v>674</v>
      </c>
      <c r="B649" s="3" t="s">
        <v>17</v>
      </c>
      <c r="C649" s="5">
        <v>45012</v>
      </c>
      <c r="D649" s="3"/>
      <c r="E649" s="3" t="s">
        <v>13</v>
      </c>
      <c r="F649" s="3" t="s">
        <v>18</v>
      </c>
      <c r="G649" s="3">
        <v>1685</v>
      </c>
      <c r="H649" s="3">
        <v>84.58</v>
      </c>
      <c r="I649" s="3">
        <v>75.209999999999994</v>
      </c>
      <c r="J649" s="3">
        <v>253</v>
      </c>
      <c r="K649" s="3" t="s">
        <v>27</v>
      </c>
      <c r="L649" s="3" t="str">
        <f t="shared" si="40"/>
        <v/>
      </c>
      <c r="M649" s="4">
        <f t="shared" si="41"/>
        <v>9.3700000000000045</v>
      </c>
      <c r="N649" s="6">
        <f t="shared" si="42"/>
        <v>0.11078269094348552</v>
      </c>
      <c r="O649" s="4">
        <f t="shared" si="43"/>
        <v>15788.450000000008</v>
      </c>
    </row>
    <row r="650" spans="1:15" x14ac:dyDescent="0.3">
      <c r="A650" s="3" t="s">
        <v>675</v>
      </c>
      <c r="B650" s="3" t="s">
        <v>29</v>
      </c>
      <c r="C650" s="5">
        <v>44641</v>
      </c>
      <c r="D650" s="5">
        <v>44651</v>
      </c>
      <c r="E650" s="3" t="s">
        <v>24</v>
      </c>
      <c r="F650" s="3" t="s">
        <v>14</v>
      </c>
      <c r="G650" s="3">
        <v>1362</v>
      </c>
      <c r="H650" s="3">
        <v>46.64</v>
      </c>
      <c r="I650" s="3">
        <v>42.85</v>
      </c>
      <c r="J650" s="3">
        <v>33</v>
      </c>
      <c r="K650" s="3" t="s">
        <v>15</v>
      </c>
      <c r="L650" s="3">
        <f t="shared" si="40"/>
        <v>10</v>
      </c>
      <c r="M650" s="4">
        <f t="shared" si="41"/>
        <v>3.7899999999999991</v>
      </c>
      <c r="N650" s="6">
        <f t="shared" si="42"/>
        <v>8.1260720411663795E-2</v>
      </c>
      <c r="O650" s="4">
        <f t="shared" si="43"/>
        <v>5161.9799999999987</v>
      </c>
    </row>
    <row r="651" spans="1:15" x14ac:dyDescent="0.3">
      <c r="A651" s="3" t="s">
        <v>676</v>
      </c>
      <c r="B651" s="3" t="s">
        <v>17</v>
      </c>
      <c r="C651" s="5">
        <v>45292</v>
      </c>
      <c r="D651" s="5">
        <v>45295</v>
      </c>
      <c r="E651" s="3" t="s">
        <v>39</v>
      </c>
      <c r="F651" s="3" t="s">
        <v>35</v>
      </c>
      <c r="G651" s="3">
        <v>1327</v>
      </c>
      <c r="H651" s="3">
        <v>59.57</v>
      </c>
      <c r="I651" s="3">
        <v>56.44</v>
      </c>
      <c r="J651" s="3">
        <v>169</v>
      </c>
      <c r="K651" s="3" t="s">
        <v>15</v>
      </c>
      <c r="L651" s="3">
        <f t="shared" si="40"/>
        <v>3</v>
      </c>
      <c r="M651" s="4">
        <f t="shared" si="41"/>
        <v>3.1300000000000026</v>
      </c>
      <c r="N651" s="6">
        <f t="shared" si="42"/>
        <v>5.2543226456269979E-2</v>
      </c>
      <c r="O651" s="4">
        <f t="shared" si="43"/>
        <v>4153.5100000000029</v>
      </c>
    </row>
    <row r="652" spans="1:15" x14ac:dyDescent="0.3">
      <c r="A652" s="3" t="s">
        <v>677</v>
      </c>
      <c r="B652" s="3" t="s">
        <v>29</v>
      </c>
      <c r="C652" s="5">
        <v>44854</v>
      </c>
      <c r="D652" s="3"/>
      <c r="E652" s="3" t="s">
        <v>21</v>
      </c>
      <c r="F652" s="3" t="s">
        <v>18</v>
      </c>
      <c r="G652" s="3">
        <v>1807</v>
      </c>
      <c r="H652" s="3">
        <v>69.47</v>
      </c>
      <c r="I652" s="3">
        <v>60</v>
      </c>
      <c r="J652" s="3">
        <v>50</v>
      </c>
      <c r="K652" s="3" t="s">
        <v>15</v>
      </c>
      <c r="L652" s="3" t="str">
        <f t="shared" si="40"/>
        <v/>
      </c>
      <c r="M652" s="4">
        <f t="shared" si="41"/>
        <v>9.4699999999999989</v>
      </c>
      <c r="N652" s="6">
        <f t="shared" si="42"/>
        <v>0.13631783503670647</v>
      </c>
      <c r="O652" s="4">
        <f t="shared" si="43"/>
        <v>17112.289999999997</v>
      </c>
    </row>
    <row r="653" spans="1:15" x14ac:dyDescent="0.3">
      <c r="A653" s="3" t="s">
        <v>678</v>
      </c>
      <c r="B653" s="3" t="s">
        <v>12</v>
      </c>
      <c r="C653" s="5">
        <v>44802</v>
      </c>
      <c r="D653" s="5">
        <v>44810</v>
      </c>
      <c r="E653" s="3" t="s">
        <v>13</v>
      </c>
      <c r="F653" s="3" t="s">
        <v>35</v>
      </c>
      <c r="G653" s="3">
        <v>406</v>
      </c>
      <c r="H653" s="3">
        <v>91.73</v>
      </c>
      <c r="I653" s="3">
        <v>89.13</v>
      </c>
      <c r="J653" s="3"/>
      <c r="K653" s="3" t="s">
        <v>15</v>
      </c>
      <c r="L653" s="3">
        <f t="shared" si="40"/>
        <v>8</v>
      </c>
      <c r="M653" s="4">
        <f t="shared" si="41"/>
        <v>2.6000000000000085</v>
      </c>
      <c r="N653" s="6">
        <f t="shared" si="42"/>
        <v>2.8344053199607637E-2</v>
      </c>
      <c r="O653" s="4">
        <f t="shared" si="43"/>
        <v>1055.6000000000035</v>
      </c>
    </row>
    <row r="654" spans="1:15" x14ac:dyDescent="0.3">
      <c r="A654" s="3" t="s">
        <v>679</v>
      </c>
      <c r="B654" s="3" t="s">
        <v>20</v>
      </c>
      <c r="C654" s="5">
        <v>44840</v>
      </c>
      <c r="D654" s="5">
        <v>44852</v>
      </c>
      <c r="E654" s="3" t="s">
        <v>26</v>
      </c>
      <c r="F654" s="3" t="s">
        <v>33</v>
      </c>
      <c r="G654" s="3">
        <v>72</v>
      </c>
      <c r="H654" s="3">
        <v>103</v>
      </c>
      <c r="I654" s="3">
        <v>89.49</v>
      </c>
      <c r="J654" s="3">
        <v>1</v>
      </c>
      <c r="K654" s="3" t="s">
        <v>27</v>
      </c>
      <c r="L654" s="3">
        <f t="shared" si="40"/>
        <v>12</v>
      </c>
      <c r="M654" s="4">
        <f t="shared" si="41"/>
        <v>13.510000000000005</v>
      </c>
      <c r="N654" s="6">
        <f t="shared" si="42"/>
        <v>0.13116504854368938</v>
      </c>
      <c r="O654" s="4">
        <f t="shared" si="43"/>
        <v>972.72000000000037</v>
      </c>
    </row>
    <row r="655" spans="1:15" x14ac:dyDescent="0.3">
      <c r="A655" s="3" t="s">
        <v>680</v>
      </c>
      <c r="B655" s="3" t="s">
        <v>20</v>
      </c>
      <c r="C655" s="5">
        <v>44905</v>
      </c>
      <c r="D655" s="5">
        <v>44915</v>
      </c>
      <c r="E655" s="3" t="s">
        <v>13</v>
      </c>
      <c r="F655" s="3" t="s">
        <v>18</v>
      </c>
      <c r="G655" s="3">
        <v>1835</v>
      </c>
      <c r="H655" s="3">
        <v>83.5</v>
      </c>
      <c r="I655" s="3">
        <v>82.36</v>
      </c>
      <c r="J655" s="3">
        <v>85</v>
      </c>
      <c r="K655" s="3" t="s">
        <v>27</v>
      </c>
      <c r="L655" s="3">
        <f t="shared" si="40"/>
        <v>10</v>
      </c>
      <c r="M655" s="4">
        <f t="shared" si="41"/>
        <v>1.1400000000000006</v>
      </c>
      <c r="N655" s="6">
        <f t="shared" si="42"/>
        <v>1.365269461077845E-2</v>
      </c>
      <c r="O655" s="4">
        <f t="shared" si="43"/>
        <v>2091.900000000001</v>
      </c>
    </row>
    <row r="656" spans="1:15" x14ac:dyDescent="0.3">
      <c r="A656" s="3" t="s">
        <v>681</v>
      </c>
      <c r="B656" s="3" t="s">
        <v>17</v>
      </c>
      <c r="C656" s="5">
        <v>44889</v>
      </c>
      <c r="D656" s="5">
        <v>44905</v>
      </c>
      <c r="E656" s="3" t="s">
        <v>39</v>
      </c>
      <c r="F656" s="3" t="s">
        <v>35</v>
      </c>
      <c r="G656" s="3">
        <v>571</v>
      </c>
      <c r="H656" s="3">
        <v>49.98</v>
      </c>
      <c r="I656" s="3">
        <v>45.58</v>
      </c>
      <c r="J656" s="3"/>
      <c r="K656" s="3" t="s">
        <v>27</v>
      </c>
      <c r="L656" s="3">
        <f t="shared" si="40"/>
        <v>16</v>
      </c>
      <c r="M656" s="4">
        <f t="shared" si="41"/>
        <v>4.3999999999999986</v>
      </c>
      <c r="N656" s="6">
        <f t="shared" si="42"/>
        <v>8.8035214085634236E-2</v>
      </c>
      <c r="O656" s="4">
        <f t="shared" si="43"/>
        <v>2512.3999999999992</v>
      </c>
    </row>
    <row r="657" spans="1:15" x14ac:dyDescent="0.3">
      <c r="A657" s="3" t="s">
        <v>682</v>
      </c>
      <c r="B657" s="3" t="s">
        <v>29</v>
      </c>
      <c r="C657" s="5">
        <v>45115</v>
      </c>
      <c r="D657" s="5">
        <v>45116</v>
      </c>
      <c r="E657" s="3" t="s">
        <v>24</v>
      </c>
      <c r="F657" s="3" t="s">
        <v>18</v>
      </c>
      <c r="G657" s="3">
        <v>1831</v>
      </c>
      <c r="H657" s="3">
        <v>52.24</v>
      </c>
      <c r="I657" s="3">
        <v>50.44</v>
      </c>
      <c r="J657" s="3">
        <v>60</v>
      </c>
      <c r="K657" s="3" t="s">
        <v>15</v>
      </c>
      <c r="L657" s="3">
        <f t="shared" si="40"/>
        <v>1</v>
      </c>
      <c r="M657" s="4">
        <f t="shared" si="41"/>
        <v>1.8000000000000043</v>
      </c>
      <c r="N657" s="6">
        <f t="shared" si="42"/>
        <v>3.4456355283307892E-2</v>
      </c>
      <c r="O657" s="4">
        <f t="shared" si="43"/>
        <v>3295.8000000000079</v>
      </c>
    </row>
    <row r="658" spans="1:15" x14ac:dyDescent="0.3">
      <c r="A658" s="3" t="s">
        <v>683</v>
      </c>
      <c r="B658" s="3" t="s">
        <v>23</v>
      </c>
      <c r="C658" s="5">
        <v>44644</v>
      </c>
      <c r="D658" s="5">
        <v>44658</v>
      </c>
      <c r="E658" s="3" t="s">
        <v>13</v>
      </c>
      <c r="F658" s="3" t="s">
        <v>35</v>
      </c>
      <c r="G658" s="3">
        <v>1910</v>
      </c>
      <c r="H658" s="3">
        <v>77.150000000000006</v>
      </c>
      <c r="I658" s="3">
        <v>68.489999999999995</v>
      </c>
      <c r="J658" s="3">
        <v>170</v>
      </c>
      <c r="K658" s="3" t="s">
        <v>15</v>
      </c>
      <c r="L658" s="3">
        <f t="shared" si="40"/>
        <v>14</v>
      </c>
      <c r="M658" s="4">
        <f t="shared" si="41"/>
        <v>8.6600000000000108</v>
      </c>
      <c r="N658" s="6">
        <f t="shared" si="42"/>
        <v>0.11224886584575515</v>
      </c>
      <c r="O658" s="4">
        <f t="shared" si="43"/>
        <v>16540.60000000002</v>
      </c>
    </row>
    <row r="659" spans="1:15" x14ac:dyDescent="0.3">
      <c r="A659" s="3" t="s">
        <v>684</v>
      </c>
      <c r="B659" s="3" t="s">
        <v>20</v>
      </c>
      <c r="C659" s="5">
        <v>44703</v>
      </c>
      <c r="D659" s="5">
        <v>44712</v>
      </c>
      <c r="E659" s="3" t="s">
        <v>39</v>
      </c>
      <c r="F659" s="3" t="s">
        <v>33</v>
      </c>
      <c r="G659" s="3">
        <v>1173</v>
      </c>
      <c r="H659" s="3">
        <v>32.119999999999997</v>
      </c>
      <c r="I659" s="3">
        <v>29.18</v>
      </c>
      <c r="J659" s="3"/>
      <c r="K659" s="3" t="s">
        <v>15</v>
      </c>
      <c r="L659" s="3">
        <f t="shared" si="40"/>
        <v>9</v>
      </c>
      <c r="M659" s="4">
        <f t="shared" si="41"/>
        <v>2.9399999999999977</v>
      </c>
      <c r="N659" s="6">
        <f t="shared" si="42"/>
        <v>9.1531755915317495E-2</v>
      </c>
      <c r="O659" s="4">
        <f t="shared" si="43"/>
        <v>3448.6199999999972</v>
      </c>
    </row>
    <row r="660" spans="1:15" x14ac:dyDescent="0.3">
      <c r="A660" s="3" t="s">
        <v>685</v>
      </c>
      <c r="B660" s="3" t="s">
        <v>29</v>
      </c>
      <c r="C660" s="5">
        <v>44716</v>
      </c>
      <c r="D660" s="5">
        <v>44729</v>
      </c>
      <c r="E660" s="3" t="s">
        <v>24</v>
      </c>
      <c r="F660" s="3" t="s">
        <v>33</v>
      </c>
      <c r="G660" s="3">
        <v>851</v>
      </c>
      <c r="H660" s="3">
        <v>20.440000000000001</v>
      </c>
      <c r="I660" s="3">
        <v>19.22</v>
      </c>
      <c r="J660" s="3">
        <v>22</v>
      </c>
      <c r="K660" s="3" t="s">
        <v>15</v>
      </c>
      <c r="L660" s="3">
        <f t="shared" si="40"/>
        <v>13</v>
      </c>
      <c r="M660" s="4">
        <f t="shared" si="41"/>
        <v>1.2200000000000024</v>
      </c>
      <c r="N660" s="6">
        <f t="shared" si="42"/>
        <v>5.9686888454011856E-2</v>
      </c>
      <c r="O660" s="4">
        <f t="shared" si="43"/>
        <v>1038.2200000000021</v>
      </c>
    </row>
    <row r="661" spans="1:15" x14ac:dyDescent="0.3">
      <c r="A661" s="3" t="s">
        <v>686</v>
      </c>
      <c r="B661" s="3" t="s">
        <v>29</v>
      </c>
      <c r="C661" s="5">
        <v>44798</v>
      </c>
      <c r="D661" s="5">
        <v>44811</v>
      </c>
      <c r="E661" s="3" t="s">
        <v>21</v>
      </c>
      <c r="F661" s="3" t="s">
        <v>14</v>
      </c>
      <c r="G661" s="3">
        <v>1253</v>
      </c>
      <c r="H661" s="3">
        <v>43.38</v>
      </c>
      <c r="I661" s="3">
        <v>38.01</v>
      </c>
      <c r="J661" s="3">
        <v>34</v>
      </c>
      <c r="K661" s="3" t="s">
        <v>15</v>
      </c>
      <c r="L661" s="3">
        <f t="shared" si="40"/>
        <v>13</v>
      </c>
      <c r="M661" s="4">
        <f t="shared" si="41"/>
        <v>5.3700000000000045</v>
      </c>
      <c r="N661" s="6">
        <f t="shared" si="42"/>
        <v>0.12378976486860314</v>
      </c>
      <c r="O661" s="4">
        <f t="shared" si="43"/>
        <v>6728.610000000006</v>
      </c>
    </row>
    <row r="662" spans="1:15" x14ac:dyDescent="0.3">
      <c r="A662" s="3" t="s">
        <v>687</v>
      </c>
      <c r="B662" s="3" t="s">
        <v>12</v>
      </c>
      <c r="C662" s="5">
        <v>44954</v>
      </c>
      <c r="D662" s="5">
        <v>44972</v>
      </c>
      <c r="E662" s="3" t="s">
        <v>39</v>
      </c>
      <c r="F662" s="3" t="s">
        <v>18</v>
      </c>
      <c r="G662" s="3">
        <v>1296</v>
      </c>
      <c r="H662" s="3">
        <v>38</v>
      </c>
      <c r="I662" s="3">
        <v>33.42</v>
      </c>
      <c r="J662" s="3">
        <v>33</v>
      </c>
      <c r="K662" s="3" t="s">
        <v>15</v>
      </c>
      <c r="L662" s="3">
        <f t="shared" si="40"/>
        <v>18</v>
      </c>
      <c r="M662" s="4">
        <f t="shared" si="41"/>
        <v>4.5799999999999983</v>
      </c>
      <c r="N662" s="6">
        <f t="shared" si="42"/>
        <v>0.12052631578947363</v>
      </c>
      <c r="O662" s="4">
        <f t="shared" si="43"/>
        <v>5935.6799999999976</v>
      </c>
    </row>
    <row r="663" spans="1:15" x14ac:dyDescent="0.3">
      <c r="A663" s="3" t="s">
        <v>688</v>
      </c>
      <c r="B663" s="3" t="s">
        <v>23</v>
      </c>
      <c r="C663" s="5">
        <v>45272</v>
      </c>
      <c r="D663" s="5">
        <v>45290</v>
      </c>
      <c r="E663" s="3" t="s">
        <v>26</v>
      </c>
      <c r="F663" s="3" t="s">
        <v>18</v>
      </c>
      <c r="G663" s="3">
        <v>1979</v>
      </c>
      <c r="H663" s="3">
        <v>40.880000000000003</v>
      </c>
      <c r="I663" s="3">
        <v>39.46</v>
      </c>
      <c r="J663" s="3">
        <v>221</v>
      </c>
      <c r="K663" s="3" t="s">
        <v>15</v>
      </c>
      <c r="L663" s="3">
        <f t="shared" si="40"/>
        <v>18</v>
      </c>
      <c r="M663" s="4">
        <f t="shared" si="41"/>
        <v>1.4200000000000017</v>
      </c>
      <c r="N663" s="6">
        <f t="shared" si="42"/>
        <v>3.4735812133072447E-2</v>
      </c>
      <c r="O663" s="4">
        <f t="shared" si="43"/>
        <v>2810.1800000000035</v>
      </c>
    </row>
    <row r="664" spans="1:15" x14ac:dyDescent="0.3">
      <c r="A664" s="3" t="s">
        <v>689</v>
      </c>
      <c r="B664" s="3" t="s">
        <v>20</v>
      </c>
      <c r="C664" s="5">
        <v>44718</v>
      </c>
      <c r="D664" s="5">
        <v>44731</v>
      </c>
      <c r="E664" s="3" t="s">
        <v>13</v>
      </c>
      <c r="F664" s="3" t="s">
        <v>18</v>
      </c>
      <c r="G664" s="3">
        <v>811</v>
      </c>
      <c r="H664" s="3">
        <v>31.8</v>
      </c>
      <c r="I664" s="3">
        <v>30.33</v>
      </c>
      <c r="J664" s="3">
        <v>58</v>
      </c>
      <c r="K664" s="3" t="s">
        <v>15</v>
      </c>
      <c r="L664" s="3">
        <f t="shared" si="40"/>
        <v>13</v>
      </c>
      <c r="M664" s="4">
        <f t="shared" si="41"/>
        <v>1.4700000000000024</v>
      </c>
      <c r="N664" s="6">
        <f t="shared" si="42"/>
        <v>4.6226415094339696E-2</v>
      </c>
      <c r="O664" s="4">
        <f t="shared" si="43"/>
        <v>1192.1700000000019</v>
      </c>
    </row>
    <row r="665" spans="1:15" x14ac:dyDescent="0.3">
      <c r="A665" s="3" t="s">
        <v>690</v>
      </c>
      <c r="B665" s="3" t="s">
        <v>12</v>
      </c>
      <c r="C665" s="5">
        <v>45285</v>
      </c>
      <c r="D665" s="5">
        <v>45303</v>
      </c>
      <c r="E665" s="3" t="s">
        <v>39</v>
      </c>
      <c r="F665" s="3" t="s">
        <v>18</v>
      </c>
      <c r="G665" s="3">
        <v>1732</v>
      </c>
      <c r="H665" s="3">
        <v>15.37</v>
      </c>
      <c r="I665" s="3">
        <v>14.7</v>
      </c>
      <c r="J665" s="3">
        <v>38</v>
      </c>
      <c r="K665" s="3" t="s">
        <v>15</v>
      </c>
      <c r="L665" s="3">
        <f t="shared" si="40"/>
        <v>18</v>
      </c>
      <c r="M665" s="4">
        <f t="shared" si="41"/>
        <v>0.66999999999999993</v>
      </c>
      <c r="N665" s="6">
        <f t="shared" si="42"/>
        <v>4.3591411841249185E-2</v>
      </c>
      <c r="O665" s="4">
        <f t="shared" si="43"/>
        <v>1160.4399999999998</v>
      </c>
    </row>
    <row r="666" spans="1:15" x14ac:dyDescent="0.3">
      <c r="A666" s="3" t="s">
        <v>691</v>
      </c>
      <c r="B666" s="3" t="s">
        <v>23</v>
      </c>
      <c r="C666" s="5">
        <v>44781</v>
      </c>
      <c r="D666" s="5">
        <v>44801</v>
      </c>
      <c r="E666" s="3" t="s">
        <v>24</v>
      </c>
      <c r="F666" s="3" t="s">
        <v>18</v>
      </c>
      <c r="G666" s="3">
        <v>491</v>
      </c>
      <c r="H666" s="3">
        <v>12.01</v>
      </c>
      <c r="I666" s="3">
        <v>11.67</v>
      </c>
      <c r="J666" s="3">
        <v>47</v>
      </c>
      <c r="K666" s="3" t="s">
        <v>15</v>
      </c>
      <c r="L666" s="3">
        <f t="shared" si="40"/>
        <v>20</v>
      </c>
      <c r="M666" s="4">
        <f t="shared" si="41"/>
        <v>0.33999999999999986</v>
      </c>
      <c r="N666" s="6">
        <f t="shared" si="42"/>
        <v>2.8309741881765185E-2</v>
      </c>
      <c r="O666" s="4">
        <f t="shared" si="43"/>
        <v>166.93999999999994</v>
      </c>
    </row>
    <row r="667" spans="1:15" x14ac:dyDescent="0.3">
      <c r="A667" s="3" t="s">
        <v>692</v>
      </c>
      <c r="B667" s="3" t="s">
        <v>20</v>
      </c>
      <c r="C667" s="5">
        <v>44627</v>
      </c>
      <c r="D667" s="5">
        <v>44631</v>
      </c>
      <c r="E667" s="3" t="s">
        <v>24</v>
      </c>
      <c r="F667" s="3" t="s">
        <v>14</v>
      </c>
      <c r="G667" s="3">
        <v>1681</v>
      </c>
      <c r="H667" s="3">
        <v>99.88</v>
      </c>
      <c r="I667" s="3">
        <v>96.38</v>
      </c>
      <c r="J667" s="3">
        <v>90</v>
      </c>
      <c r="K667" s="3" t="s">
        <v>15</v>
      </c>
      <c r="L667" s="3">
        <f t="shared" si="40"/>
        <v>4</v>
      </c>
      <c r="M667" s="4">
        <f t="shared" si="41"/>
        <v>3.5</v>
      </c>
      <c r="N667" s="6">
        <f t="shared" si="42"/>
        <v>3.5042050460552664E-2</v>
      </c>
      <c r="O667" s="4">
        <f t="shared" si="43"/>
        <v>5883.5</v>
      </c>
    </row>
    <row r="668" spans="1:15" x14ac:dyDescent="0.3">
      <c r="A668" s="3" t="s">
        <v>693</v>
      </c>
      <c r="B668" s="3" t="s">
        <v>12</v>
      </c>
      <c r="C668" s="5">
        <v>44986</v>
      </c>
      <c r="D668" s="5">
        <v>44990</v>
      </c>
      <c r="E668" s="3" t="s">
        <v>26</v>
      </c>
      <c r="F668" s="3" t="s">
        <v>33</v>
      </c>
      <c r="G668" s="3">
        <v>818</v>
      </c>
      <c r="H668" s="3">
        <v>51.89</v>
      </c>
      <c r="I668" s="3">
        <v>47.85</v>
      </c>
      <c r="J668" s="3">
        <v>12</v>
      </c>
      <c r="K668" s="3" t="s">
        <v>15</v>
      </c>
      <c r="L668" s="3">
        <f t="shared" si="40"/>
        <v>4</v>
      </c>
      <c r="M668" s="4">
        <f t="shared" si="41"/>
        <v>4.0399999999999991</v>
      </c>
      <c r="N668" s="6">
        <f t="shared" si="42"/>
        <v>7.7857005203314691E-2</v>
      </c>
      <c r="O668" s="4">
        <f t="shared" si="43"/>
        <v>3304.7199999999993</v>
      </c>
    </row>
    <row r="669" spans="1:15" x14ac:dyDescent="0.3">
      <c r="A669" s="3" t="s">
        <v>694</v>
      </c>
      <c r="B669" s="3" t="s">
        <v>23</v>
      </c>
      <c r="C669" s="5">
        <v>44979</v>
      </c>
      <c r="D669" s="5">
        <v>44990</v>
      </c>
      <c r="E669" s="3" t="s">
        <v>13</v>
      </c>
      <c r="F669" s="3" t="s">
        <v>18</v>
      </c>
      <c r="G669" s="3">
        <v>1065</v>
      </c>
      <c r="H669" s="3">
        <v>47.49</v>
      </c>
      <c r="I669" s="3">
        <v>41.42</v>
      </c>
      <c r="J669" s="3">
        <v>113</v>
      </c>
      <c r="K669" s="3" t="s">
        <v>15</v>
      </c>
      <c r="L669" s="3">
        <f t="shared" si="40"/>
        <v>11</v>
      </c>
      <c r="M669" s="4">
        <f t="shared" si="41"/>
        <v>6.07</v>
      </c>
      <c r="N669" s="6">
        <f t="shared" si="42"/>
        <v>0.12781638239629395</v>
      </c>
      <c r="O669" s="4">
        <f t="shared" si="43"/>
        <v>6464.55</v>
      </c>
    </row>
    <row r="670" spans="1:15" x14ac:dyDescent="0.3">
      <c r="A670" s="3" t="s">
        <v>695</v>
      </c>
      <c r="B670" s="3" t="s">
        <v>20</v>
      </c>
      <c r="C670" s="5">
        <v>44900</v>
      </c>
      <c r="D670" s="5">
        <v>44912</v>
      </c>
      <c r="E670" s="3" t="s">
        <v>24</v>
      </c>
      <c r="F670" s="3" t="s">
        <v>18</v>
      </c>
      <c r="G670" s="3">
        <v>1398</v>
      </c>
      <c r="H670" s="3">
        <v>75.08</v>
      </c>
      <c r="I670" s="3">
        <v>67.09</v>
      </c>
      <c r="J670" s="3">
        <v>57</v>
      </c>
      <c r="K670" s="3" t="s">
        <v>15</v>
      </c>
      <c r="L670" s="3">
        <f t="shared" si="40"/>
        <v>12</v>
      </c>
      <c r="M670" s="4">
        <f t="shared" si="41"/>
        <v>7.9899999999999949</v>
      </c>
      <c r="N670" s="6">
        <f t="shared" si="42"/>
        <v>0.10641981885988272</v>
      </c>
      <c r="O670" s="4">
        <f t="shared" si="43"/>
        <v>11170.019999999993</v>
      </c>
    </row>
    <row r="671" spans="1:15" x14ac:dyDescent="0.3">
      <c r="A671" s="3" t="s">
        <v>696</v>
      </c>
      <c r="B671" s="3" t="s">
        <v>23</v>
      </c>
      <c r="C671" s="5">
        <v>45117</v>
      </c>
      <c r="D671" s="5">
        <v>45124</v>
      </c>
      <c r="E671" s="3" t="s">
        <v>24</v>
      </c>
      <c r="F671" s="3" t="s">
        <v>18</v>
      </c>
      <c r="G671" s="3">
        <v>565</v>
      </c>
      <c r="H671" s="3">
        <v>32.31</v>
      </c>
      <c r="I671" s="3">
        <v>29.76</v>
      </c>
      <c r="J671" s="3">
        <v>60</v>
      </c>
      <c r="K671" s="3" t="s">
        <v>15</v>
      </c>
      <c r="L671" s="3">
        <f t="shared" si="40"/>
        <v>7</v>
      </c>
      <c r="M671" s="4">
        <f t="shared" si="41"/>
        <v>2.5500000000000007</v>
      </c>
      <c r="N671" s="6">
        <f t="shared" si="42"/>
        <v>7.892293407613743E-2</v>
      </c>
      <c r="O671" s="4">
        <f t="shared" si="43"/>
        <v>1440.7500000000005</v>
      </c>
    </row>
    <row r="672" spans="1:15" x14ac:dyDescent="0.3">
      <c r="A672" s="3" t="s">
        <v>697</v>
      </c>
      <c r="B672" s="3" t="s">
        <v>29</v>
      </c>
      <c r="C672" s="5">
        <v>45039</v>
      </c>
      <c r="D672" s="5">
        <v>45052</v>
      </c>
      <c r="E672" s="3" t="s">
        <v>24</v>
      </c>
      <c r="F672" s="3" t="s">
        <v>35</v>
      </c>
      <c r="G672" s="3">
        <v>1089</v>
      </c>
      <c r="H672" s="3">
        <v>102.66</v>
      </c>
      <c r="I672" s="3">
        <v>89.21</v>
      </c>
      <c r="J672" s="3">
        <v>33</v>
      </c>
      <c r="K672" s="3" t="s">
        <v>15</v>
      </c>
      <c r="L672" s="3">
        <f t="shared" si="40"/>
        <v>13</v>
      </c>
      <c r="M672" s="4">
        <f t="shared" si="41"/>
        <v>13.450000000000003</v>
      </c>
      <c r="N672" s="6">
        <f t="shared" si="42"/>
        <v>0.13101500097408925</v>
      </c>
      <c r="O672" s="4">
        <f t="shared" si="43"/>
        <v>14647.050000000003</v>
      </c>
    </row>
    <row r="673" spans="1:15" x14ac:dyDescent="0.3">
      <c r="A673" s="3" t="s">
        <v>698</v>
      </c>
      <c r="B673" s="3" t="s">
        <v>17</v>
      </c>
      <c r="C673" s="5">
        <v>44987</v>
      </c>
      <c r="D673" s="5">
        <v>44989</v>
      </c>
      <c r="E673" s="3" t="s">
        <v>39</v>
      </c>
      <c r="F673" s="3" t="s">
        <v>18</v>
      </c>
      <c r="G673" s="3">
        <v>841</v>
      </c>
      <c r="H673" s="3">
        <v>86.43</v>
      </c>
      <c r="I673" s="3">
        <v>83.77</v>
      </c>
      <c r="J673" s="3">
        <v>125</v>
      </c>
      <c r="K673" s="3" t="s">
        <v>27</v>
      </c>
      <c r="L673" s="3">
        <f t="shared" si="40"/>
        <v>2</v>
      </c>
      <c r="M673" s="4">
        <f t="shared" si="41"/>
        <v>2.6600000000000108</v>
      </c>
      <c r="N673" s="6">
        <f t="shared" si="42"/>
        <v>3.0776350804119064E-2</v>
      </c>
      <c r="O673" s="4">
        <f t="shared" si="43"/>
        <v>2237.060000000009</v>
      </c>
    </row>
    <row r="674" spans="1:15" x14ac:dyDescent="0.3">
      <c r="A674" s="3" t="s">
        <v>699</v>
      </c>
      <c r="B674" s="3" t="s">
        <v>17</v>
      </c>
      <c r="C674" s="5">
        <v>44625</v>
      </c>
      <c r="D674" s="5">
        <v>44636</v>
      </c>
      <c r="E674" s="3" t="s">
        <v>39</v>
      </c>
      <c r="F674" s="3" t="s">
        <v>18</v>
      </c>
      <c r="G674" s="3">
        <v>385</v>
      </c>
      <c r="H674" s="3">
        <v>18.23</v>
      </c>
      <c r="I674" s="3">
        <v>17.739999999999998</v>
      </c>
      <c r="J674" s="3"/>
      <c r="K674" s="3" t="s">
        <v>15</v>
      </c>
      <c r="L674" s="3">
        <f t="shared" si="40"/>
        <v>11</v>
      </c>
      <c r="M674" s="4">
        <f t="shared" si="41"/>
        <v>0.49000000000000199</v>
      </c>
      <c r="N674" s="6">
        <f t="shared" si="42"/>
        <v>2.6878771256171254E-2</v>
      </c>
      <c r="O674" s="4">
        <f t="shared" si="43"/>
        <v>188.65000000000077</v>
      </c>
    </row>
    <row r="675" spans="1:15" x14ac:dyDescent="0.3">
      <c r="A675" s="3" t="s">
        <v>700</v>
      </c>
      <c r="B675" s="3" t="s">
        <v>29</v>
      </c>
      <c r="C675" s="5">
        <v>44773</v>
      </c>
      <c r="D675" s="5">
        <v>44790</v>
      </c>
      <c r="E675" s="3" t="s">
        <v>13</v>
      </c>
      <c r="F675" s="3" t="s">
        <v>18</v>
      </c>
      <c r="G675" s="3">
        <v>1832</v>
      </c>
      <c r="H675" s="3">
        <v>49.01</v>
      </c>
      <c r="I675" s="3">
        <v>41.86</v>
      </c>
      <c r="J675" s="3">
        <v>52</v>
      </c>
      <c r="K675" s="3" t="s">
        <v>15</v>
      </c>
      <c r="L675" s="3">
        <f t="shared" si="40"/>
        <v>17</v>
      </c>
      <c r="M675" s="4">
        <f t="shared" si="41"/>
        <v>7.1499999999999986</v>
      </c>
      <c r="N675" s="6">
        <f t="shared" si="42"/>
        <v>0.14588859416445621</v>
      </c>
      <c r="O675" s="4">
        <f t="shared" si="43"/>
        <v>13098.799999999997</v>
      </c>
    </row>
    <row r="676" spans="1:15" x14ac:dyDescent="0.3">
      <c r="A676" s="3" t="s">
        <v>701</v>
      </c>
      <c r="B676" s="3" t="s">
        <v>23</v>
      </c>
      <c r="C676" s="5">
        <v>44992</v>
      </c>
      <c r="D676" s="5">
        <v>45012</v>
      </c>
      <c r="E676" s="3" t="s">
        <v>26</v>
      </c>
      <c r="F676" s="3" t="s">
        <v>18</v>
      </c>
      <c r="G676" s="3">
        <v>307</v>
      </c>
      <c r="H676" s="3">
        <v>95.36</v>
      </c>
      <c r="I676" s="3">
        <v>83.63</v>
      </c>
      <c r="J676" s="3">
        <v>29</v>
      </c>
      <c r="K676" s="3" t="s">
        <v>15</v>
      </c>
      <c r="L676" s="3">
        <f t="shared" si="40"/>
        <v>20</v>
      </c>
      <c r="M676" s="4">
        <f t="shared" si="41"/>
        <v>11.730000000000004</v>
      </c>
      <c r="N676" s="6">
        <f t="shared" si="42"/>
        <v>0.12300755033557051</v>
      </c>
      <c r="O676" s="4">
        <f t="shared" si="43"/>
        <v>3601.110000000001</v>
      </c>
    </row>
    <row r="677" spans="1:15" x14ac:dyDescent="0.3">
      <c r="A677" s="3" t="s">
        <v>702</v>
      </c>
      <c r="B677" s="3" t="s">
        <v>29</v>
      </c>
      <c r="C677" s="5">
        <v>44960</v>
      </c>
      <c r="D677" s="5">
        <v>44965</v>
      </c>
      <c r="E677" s="3" t="s">
        <v>13</v>
      </c>
      <c r="F677" s="3" t="s">
        <v>18</v>
      </c>
      <c r="G677" s="3">
        <v>546</v>
      </c>
      <c r="H677" s="3">
        <v>101.2</v>
      </c>
      <c r="I677" s="3">
        <v>97.82</v>
      </c>
      <c r="J677" s="3">
        <v>21</v>
      </c>
      <c r="K677" s="3" t="s">
        <v>15</v>
      </c>
      <c r="L677" s="3">
        <f t="shared" si="40"/>
        <v>5</v>
      </c>
      <c r="M677" s="4">
        <f t="shared" si="41"/>
        <v>3.3800000000000097</v>
      </c>
      <c r="N677" s="6">
        <f t="shared" si="42"/>
        <v>3.33992094861661E-2</v>
      </c>
      <c r="O677" s="4">
        <f t="shared" si="43"/>
        <v>1845.4800000000052</v>
      </c>
    </row>
    <row r="678" spans="1:15" x14ac:dyDescent="0.3">
      <c r="A678" s="3" t="s">
        <v>703</v>
      </c>
      <c r="B678" s="3" t="s">
        <v>17</v>
      </c>
      <c r="C678" s="5">
        <v>45160</v>
      </c>
      <c r="D678" s="5">
        <v>45180</v>
      </c>
      <c r="E678" s="3" t="s">
        <v>26</v>
      </c>
      <c r="F678" s="3" t="s">
        <v>18</v>
      </c>
      <c r="G678" s="3">
        <v>945</v>
      </c>
      <c r="H678" s="3">
        <v>57.01</v>
      </c>
      <c r="I678" s="3">
        <v>55.14</v>
      </c>
      <c r="J678" s="3">
        <v>147</v>
      </c>
      <c r="K678" s="3" t="s">
        <v>27</v>
      </c>
      <c r="L678" s="3">
        <f t="shared" si="40"/>
        <v>20</v>
      </c>
      <c r="M678" s="4">
        <f t="shared" si="41"/>
        <v>1.8699999999999974</v>
      </c>
      <c r="N678" s="6">
        <f t="shared" si="42"/>
        <v>3.2801262936326916E-2</v>
      </c>
      <c r="O678" s="4">
        <f t="shared" si="43"/>
        <v>1767.1499999999976</v>
      </c>
    </row>
    <row r="679" spans="1:15" x14ac:dyDescent="0.3">
      <c r="A679" s="3" t="s">
        <v>704</v>
      </c>
      <c r="B679" s="3" t="s">
        <v>17</v>
      </c>
      <c r="C679" s="5">
        <v>45274</v>
      </c>
      <c r="D679" s="5">
        <v>45287</v>
      </c>
      <c r="E679" s="3" t="s">
        <v>21</v>
      </c>
      <c r="F679" s="3" t="s">
        <v>35</v>
      </c>
      <c r="G679" s="3">
        <v>209</v>
      </c>
      <c r="H679" s="3">
        <v>72.709999999999994</v>
      </c>
      <c r="I679" s="3">
        <v>64.34</v>
      </c>
      <c r="J679" s="3">
        <v>39</v>
      </c>
      <c r="K679" s="3" t="s">
        <v>15</v>
      </c>
      <c r="L679" s="3">
        <f t="shared" si="40"/>
        <v>13</v>
      </c>
      <c r="M679" s="4">
        <f t="shared" si="41"/>
        <v>8.3699999999999903</v>
      </c>
      <c r="N679" s="6">
        <f t="shared" si="42"/>
        <v>0.11511483977444631</v>
      </c>
      <c r="O679" s="4">
        <f t="shared" si="43"/>
        <v>1749.3299999999979</v>
      </c>
    </row>
    <row r="680" spans="1:15" x14ac:dyDescent="0.3">
      <c r="A680" s="3" t="s">
        <v>705</v>
      </c>
      <c r="B680" s="3" t="s">
        <v>23</v>
      </c>
      <c r="C680" s="5">
        <v>44582</v>
      </c>
      <c r="D680" s="3"/>
      <c r="E680" s="3" t="s">
        <v>24</v>
      </c>
      <c r="F680" s="3" t="s">
        <v>18</v>
      </c>
      <c r="G680" s="3">
        <v>1548</v>
      </c>
      <c r="H680" s="3">
        <v>25.03</v>
      </c>
      <c r="I680" s="3">
        <v>22.87</v>
      </c>
      <c r="J680" s="3"/>
      <c r="K680" s="3" t="s">
        <v>15</v>
      </c>
      <c r="L680" s="3" t="str">
        <f t="shared" si="40"/>
        <v/>
      </c>
      <c r="M680" s="4">
        <f t="shared" si="41"/>
        <v>2.16</v>
      </c>
      <c r="N680" s="6">
        <f t="shared" si="42"/>
        <v>8.629644426687974E-2</v>
      </c>
      <c r="O680" s="4">
        <f t="shared" si="43"/>
        <v>3343.6800000000003</v>
      </c>
    </row>
    <row r="681" spans="1:15" x14ac:dyDescent="0.3">
      <c r="A681" s="3" t="s">
        <v>706</v>
      </c>
      <c r="B681" s="3" t="s">
        <v>17</v>
      </c>
      <c r="C681" s="5">
        <v>45151</v>
      </c>
      <c r="D681" s="5">
        <v>45161</v>
      </c>
      <c r="E681" s="3" t="s">
        <v>26</v>
      </c>
      <c r="F681" s="3" t="s">
        <v>18</v>
      </c>
      <c r="G681" s="3">
        <v>901</v>
      </c>
      <c r="H681" s="3">
        <v>108.63</v>
      </c>
      <c r="I681" s="3">
        <v>106.3</v>
      </c>
      <c r="J681" s="3">
        <v>141</v>
      </c>
      <c r="K681" s="3" t="s">
        <v>15</v>
      </c>
      <c r="L681" s="3">
        <f t="shared" si="40"/>
        <v>10</v>
      </c>
      <c r="M681" s="4">
        <f t="shared" si="41"/>
        <v>2.3299999999999983</v>
      </c>
      <c r="N681" s="6">
        <f t="shared" si="42"/>
        <v>2.1448955168922014E-2</v>
      </c>
      <c r="O681" s="4">
        <f t="shared" si="43"/>
        <v>2099.3299999999986</v>
      </c>
    </row>
    <row r="682" spans="1:15" x14ac:dyDescent="0.3">
      <c r="A682" s="3" t="s">
        <v>707</v>
      </c>
      <c r="B682" s="3" t="s">
        <v>29</v>
      </c>
      <c r="C682" s="5">
        <v>44951</v>
      </c>
      <c r="D682" s="5">
        <v>44968</v>
      </c>
      <c r="E682" s="3" t="s">
        <v>24</v>
      </c>
      <c r="F682" s="3" t="s">
        <v>18</v>
      </c>
      <c r="G682" s="3">
        <v>1737</v>
      </c>
      <c r="H682" s="3">
        <v>32.700000000000003</v>
      </c>
      <c r="I682" s="3">
        <v>31.02</v>
      </c>
      <c r="J682" s="3">
        <v>48</v>
      </c>
      <c r="K682" s="3" t="s">
        <v>15</v>
      </c>
      <c r="L682" s="3">
        <f t="shared" si="40"/>
        <v>17</v>
      </c>
      <c r="M682" s="4">
        <f t="shared" si="41"/>
        <v>1.6800000000000033</v>
      </c>
      <c r="N682" s="6">
        <f t="shared" si="42"/>
        <v>5.1376146788990919E-2</v>
      </c>
      <c r="O682" s="4">
        <f t="shared" si="43"/>
        <v>2918.1600000000058</v>
      </c>
    </row>
    <row r="683" spans="1:15" x14ac:dyDescent="0.3">
      <c r="A683" s="3" t="s">
        <v>708</v>
      </c>
      <c r="B683" s="3" t="s">
        <v>23</v>
      </c>
      <c r="C683" s="5">
        <v>45050</v>
      </c>
      <c r="D683" s="5">
        <v>45068</v>
      </c>
      <c r="E683" s="3" t="s">
        <v>26</v>
      </c>
      <c r="F683" s="3" t="s">
        <v>18</v>
      </c>
      <c r="G683" s="3">
        <v>1981</v>
      </c>
      <c r="H683" s="3">
        <v>102.43</v>
      </c>
      <c r="I683" s="3">
        <v>90.99</v>
      </c>
      <c r="J683" s="3">
        <v>204</v>
      </c>
      <c r="K683" s="3" t="s">
        <v>15</v>
      </c>
      <c r="L683" s="3">
        <f t="shared" si="40"/>
        <v>18</v>
      </c>
      <c r="M683" s="4">
        <f t="shared" si="41"/>
        <v>11.440000000000012</v>
      </c>
      <c r="N683" s="6">
        <f t="shared" si="42"/>
        <v>0.11168602948354985</v>
      </c>
      <c r="O683" s="4">
        <f t="shared" si="43"/>
        <v>22662.640000000025</v>
      </c>
    </row>
    <row r="684" spans="1:15" x14ac:dyDescent="0.3">
      <c r="A684" s="3" t="s">
        <v>709</v>
      </c>
      <c r="B684" s="3" t="s">
        <v>29</v>
      </c>
      <c r="C684" s="5">
        <v>44568</v>
      </c>
      <c r="D684" s="5">
        <v>44587</v>
      </c>
      <c r="E684" s="3" t="s">
        <v>21</v>
      </c>
      <c r="F684" s="3" t="s">
        <v>35</v>
      </c>
      <c r="G684" s="3">
        <v>739</v>
      </c>
      <c r="H684" s="3">
        <v>68.47</v>
      </c>
      <c r="I684" s="3">
        <v>66.09</v>
      </c>
      <c r="J684" s="3">
        <v>19</v>
      </c>
      <c r="K684" s="3" t="s">
        <v>15</v>
      </c>
      <c r="L684" s="3">
        <f t="shared" si="40"/>
        <v>19</v>
      </c>
      <c r="M684" s="4">
        <f t="shared" si="41"/>
        <v>2.3799999999999955</v>
      </c>
      <c r="N684" s="6">
        <f t="shared" si="42"/>
        <v>3.4759748795092672E-2</v>
      </c>
      <c r="O684" s="4">
        <f t="shared" si="43"/>
        <v>1758.8199999999965</v>
      </c>
    </row>
    <row r="685" spans="1:15" x14ac:dyDescent="0.3">
      <c r="A685" s="3" t="s">
        <v>710</v>
      </c>
      <c r="B685" s="3" t="s">
        <v>23</v>
      </c>
      <c r="C685" s="5">
        <v>44922</v>
      </c>
      <c r="D685" s="5">
        <v>44923</v>
      </c>
      <c r="E685" s="3" t="s">
        <v>26</v>
      </c>
      <c r="F685" s="3" t="s">
        <v>18</v>
      </c>
      <c r="G685" s="3">
        <v>1748</v>
      </c>
      <c r="H685" s="3">
        <v>68.25</v>
      </c>
      <c r="I685" s="3">
        <v>62.84</v>
      </c>
      <c r="J685" s="3">
        <v>171</v>
      </c>
      <c r="K685" s="3" t="s">
        <v>15</v>
      </c>
      <c r="L685" s="3">
        <f t="shared" si="40"/>
        <v>1</v>
      </c>
      <c r="M685" s="4">
        <f t="shared" si="41"/>
        <v>5.4099999999999966</v>
      </c>
      <c r="N685" s="6">
        <f t="shared" si="42"/>
        <v>7.9267399267399216E-2</v>
      </c>
      <c r="O685" s="4">
        <f t="shared" si="43"/>
        <v>9456.6799999999948</v>
      </c>
    </row>
    <row r="686" spans="1:15" x14ac:dyDescent="0.3">
      <c r="A686" s="3" t="s">
        <v>711</v>
      </c>
      <c r="B686" s="3" t="s">
        <v>17</v>
      </c>
      <c r="C686" s="5">
        <v>44867</v>
      </c>
      <c r="D686" s="5">
        <v>44871</v>
      </c>
      <c r="E686" s="3" t="s">
        <v>13</v>
      </c>
      <c r="F686" s="3" t="s">
        <v>14</v>
      </c>
      <c r="G686" s="3">
        <v>429</v>
      </c>
      <c r="H686" s="3">
        <v>58.95</v>
      </c>
      <c r="I686" s="3">
        <v>55.35</v>
      </c>
      <c r="J686" s="3">
        <v>59</v>
      </c>
      <c r="K686" s="3" t="s">
        <v>27</v>
      </c>
      <c r="L686" s="3">
        <f t="shared" si="40"/>
        <v>4</v>
      </c>
      <c r="M686" s="4">
        <f t="shared" si="41"/>
        <v>3.6000000000000014</v>
      </c>
      <c r="N686" s="6">
        <f t="shared" si="42"/>
        <v>6.1068702290076354E-2</v>
      </c>
      <c r="O686" s="4">
        <f t="shared" si="43"/>
        <v>1544.4000000000005</v>
      </c>
    </row>
    <row r="687" spans="1:15" x14ac:dyDescent="0.3">
      <c r="A687" s="3" t="s">
        <v>712</v>
      </c>
      <c r="B687" s="3" t="s">
        <v>20</v>
      </c>
      <c r="C687" s="5">
        <v>44961</v>
      </c>
      <c r="D687" s="3"/>
      <c r="E687" s="3" t="s">
        <v>39</v>
      </c>
      <c r="F687" s="3" t="s">
        <v>18</v>
      </c>
      <c r="G687" s="3">
        <v>1618</v>
      </c>
      <c r="H687" s="3">
        <v>32.76</v>
      </c>
      <c r="I687" s="3">
        <v>28.41</v>
      </c>
      <c r="J687" s="3">
        <v>62</v>
      </c>
      <c r="K687" s="3" t="s">
        <v>15</v>
      </c>
      <c r="L687" s="3" t="str">
        <f t="shared" si="40"/>
        <v/>
      </c>
      <c r="M687" s="4">
        <f t="shared" si="41"/>
        <v>4.3499999999999979</v>
      </c>
      <c r="N687" s="6">
        <f t="shared" si="42"/>
        <v>0.13278388278388273</v>
      </c>
      <c r="O687" s="4">
        <f t="shared" si="43"/>
        <v>7038.2999999999965</v>
      </c>
    </row>
    <row r="688" spans="1:15" x14ac:dyDescent="0.3">
      <c r="A688" s="3" t="s">
        <v>713</v>
      </c>
      <c r="B688" s="3" t="s">
        <v>23</v>
      </c>
      <c r="C688" s="5">
        <v>44991</v>
      </c>
      <c r="D688" s="5">
        <v>44992</v>
      </c>
      <c r="E688" s="3" t="s">
        <v>24</v>
      </c>
      <c r="F688" s="3" t="s">
        <v>18</v>
      </c>
      <c r="G688" s="3">
        <v>1006</v>
      </c>
      <c r="H688" s="3">
        <v>27.7</v>
      </c>
      <c r="I688" s="3">
        <v>23.66</v>
      </c>
      <c r="J688" s="3">
        <v>101</v>
      </c>
      <c r="K688" s="3" t="s">
        <v>27</v>
      </c>
      <c r="L688" s="3">
        <f t="shared" si="40"/>
        <v>1</v>
      </c>
      <c r="M688" s="4">
        <f t="shared" si="41"/>
        <v>4.0399999999999991</v>
      </c>
      <c r="N688" s="6">
        <f t="shared" si="42"/>
        <v>0.1458483754512635</v>
      </c>
      <c r="O688" s="4">
        <f t="shared" si="43"/>
        <v>4064.2399999999993</v>
      </c>
    </row>
    <row r="689" spans="1:15" x14ac:dyDescent="0.3">
      <c r="A689" s="3" t="s">
        <v>714</v>
      </c>
      <c r="B689" s="3" t="s">
        <v>23</v>
      </c>
      <c r="C689" s="5">
        <v>45113</v>
      </c>
      <c r="D689" s="5">
        <v>45122</v>
      </c>
      <c r="E689" s="3" t="s">
        <v>39</v>
      </c>
      <c r="F689" s="3" t="s">
        <v>33</v>
      </c>
      <c r="G689" s="3">
        <v>740</v>
      </c>
      <c r="H689" s="3">
        <v>32.53</v>
      </c>
      <c r="I689" s="3">
        <v>29.35</v>
      </c>
      <c r="J689" s="3">
        <v>84</v>
      </c>
      <c r="K689" s="3" t="s">
        <v>15</v>
      </c>
      <c r="L689" s="3">
        <f t="shared" si="40"/>
        <v>9</v>
      </c>
      <c r="M689" s="4">
        <f t="shared" si="41"/>
        <v>3.1799999999999997</v>
      </c>
      <c r="N689" s="6">
        <f t="shared" si="42"/>
        <v>9.7755917614509677E-2</v>
      </c>
      <c r="O689" s="4">
        <f t="shared" si="43"/>
        <v>2353.1999999999998</v>
      </c>
    </row>
    <row r="690" spans="1:15" x14ac:dyDescent="0.3">
      <c r="A690" s="3" t="s">
        <v>715</v>
      </c>
      <c r="B690" s="3" t="s">
        <v>20</v>
      </c>
      <c r="C690" s="5">
        <v>45121</v>
      </c>
      <c r="D690" s="3"/>
      <c r="E690" s="3" t="s">
        <v>26</v>
      </c>
      <c r="F690" s="3" t="s">
        <v>18</v>
      </c>
      <c r="G690" s="3">
        <v>1500</v>
      </c>
      <c r="H690" s="3">
        <v>29.19</v>
      </c>
      <c r="I690" s="3">
        <v>27.24</v>
      </c>
      <c r="J690" s="3">
        <v>72</v>
      </c>
      <c r="K690" s="3" t="s">
        <v>15</v>
      </c>
      <c r="L690" s="3" t="str">
        <f t="shared" si="40"/>
        <v/>
      </c>
      <c r="M690" s="4">
        <f t="shared" si="41"/>
        <v>1.9500000000000028</v>
      </c>
      <c r="N690" s="6">
        <f t="shared" si="42"/>
        <v>6.6803699897225177E-2</v>
      </c>
      <c r="O690" s="4">
        <f t="shared" si="43"/>
        <v>2925.0000000000041</v>
      </c>
    </row>
    <row r="691" spans="1:15" x14ac:dyDescent="0.3">
      <c r="A691" s="3" t="s">
        <v>716</v>
      </c>
      <c r="B691" s="3" t="s">
        <v>17</v>
      </c>
      <c r="C691" s="5">
        <v>45179</v>
      </c>
      <c r="D691" s="5">
        <v>45198</v>
      </c>
      <c r="E691" s="3" t="s">
        <v>13</v>
      </c>
      <c r="F691" s="3" t="s">
        <v>14</v>
      </c>
      <c r="G691" s="3">
        <v>1686</v>
      </c>
      <c r="H691" s="3">
        <v>88.18</v>
      </c>
      <c r="I691" s="3">
        <v>77.150000000000006</v>
      </c>
      <c r="J691" s="3"/>
      <c r="K691" s="3" t="s">
        <v>15</v>
      </c>
      <c r="L691" s="3">
        <f t="shared" si="40"/>
        <v>19</v>
      </c>
      <c r="M691" s="4">
        <f t="shared" si="41"/>
        <v>11.030000000000001</v>
      </c>
      <c r="N691" s="6">
        <f t="shared" si="42"/>
        <v>0.12508505330006806</v>
      </c>
      <c r="O691" s="4">
        <f t="shared" si="43"/>
        <v>18596.580000000002</v>
      </c>
    </row>
    <row r="692" spans="1:15" x14ac:dyDescent="0.3">
      <c r="A692" s="3" t="s">
        <v>717</v>
      </c>
      <c r="B692" s="3" t="s">
        <v>29</v>
      </c>
      <c r="C692" s="5">
        <v>44787</v>
      </c>
      <c r="D692" s="5">
        <v>44789</v>
      </c>
      <c r="E692" s="3" t="s">
        <v>26</v>
      </c>
      <c r="F692" s="3" t="s">
        <v>14</v>
      </c>
      <c r="G692" s="3">
        <v>1341</v>
      </c>
      <c r="H692" s="3">
        <v>42.96</v>
      </c>
      <c r="I692" s="3">
        <v>41.75</v>
      </c>
      <c r="J692" s="3">
        <v>39</v>
      </c>
      <c r="K692" s="3" t="s">
        <v>15</v>
      </c>
      <c r="L692" s="3">
        <f t="shared" si="40"/>
        <v>2</v>
      </c>
      <c r="M692" s="4">
        <f t="shared" si="41"/>
        <v>1.2100000000000009</v>
      </c>
      <c r="N692" s="6">
        <f t="shared" si="42"/>
        <v>2.8165735567970224E-2</v>
      </c>
      <c r="O692" s="4">
        <f t="shared" si="43"/>
        <v>1622.610000000001</v>
      </c>
    </row>
    <row r="693" spans="1:15" x14ac:dyDescent="0.3">
      <c r="A693" s="3" t="s">
        <v>718</v>
      </c>
      <c r="B693" s="3" t="s">
        <v>12</v>
      </c>
      <c r="C693" s="5">
        <v>45061</v>
      </c>
      <c r="D693" s="5">
        <v>45067</v>
      </c>
      <c r="E693" s="3" t="s">
        <v>21</v>
      </c>
      <c r="F693" s="3" t="s">
        <v>14</v>
      </c>
      <c r="G693" s="3">
        <v>1908</v>
      </c>
      <c r="H693" s="3">
        <v>16.420000000000002</v>
      </c>
      <c r="I693" s="3">
        <v>15.31</v>
      </c>
      <c r="J693" s="3">
        <v>36</v>
      </c>
      <c r="K693" s="3" t="s">
        <v>15</v>
      </c>
      <c r="L693" s="3">
        <f t="shared" si="40"/>
        <v>6</v>
      </c>
      <c r="M693" s="4">
        <f t="shared" si="41"/>
        <v>1.1100000000000012</v>
      </c>
      <c r="N693" s="6">
        <f t="shared" si="42"/>
        <v>6.7600487210718707E-2</v>
      </c>
      <c r="O693" s="4">
        <f t="shared" si="43"/>
        <v>2117.8800000000024</v>
      </c>
    </row>
    <row r="694" spans="1:15" x14ac:dyDescent="0.3">
      <c r="A694" s="3" t="s">
        <v>719</v>
      </c>
      <c r="B694" s="3" t="s">
        <v>20</v>
      </c>
      <c r="C694" s="5">
        <v>44786</v>
      </c>
      <c r="D694" s="5">
        <v>44806</v>
      </c>
      <c r="E694" s="3" t="s">
        <v>21</v>
      </c>
      <c r="F694" s="3" t="s">
        <v>33</v>
      </c>
      <c r="G694" s="3">
        <v>1650</v>
      </c>
      <c r="H694" s="3">
        <v>100.62</v>
      </c>
      <c r="I694" s="3">
        <v>90.45</v>
      </c>
      <c r="J694" s="3">
        <v>85</v>
      </c>
      <c r="K694" s="3" t="s">
        <v>15</v>
      </c>
      <c r="L694" s="3">
        <f t="shared" si="40"/>
        <v>20</v>
      </c>
      <c r="M694" s="4">
        <f t="shared" si="41"/>
        <v>10.170000000000002</v>
      </c>
      <c r="N694" s="6">
        <f t="shared" si="42"/>
        <v>0.10107334525939178</v>
      </c>
      <c r="O694" s="4">
        <f t="shared" si="43"/>
        <v>16780.500000000004</v>
      </c>
    </row>
    <row r="695" spans="1:15" x14ac:dyDescent="0.3">
      <c r="A695" s="3" t="s">
        <v>720</v>
      </c>
      <c r="B695" s="3" t="s">
        <v>12</v>
      </c>
      <c r="C695" s="5">
        <v>44841</v>
      </c>
      <c r="D695" s="5">
        <v>44854</v>
      </c>
      <c r="E695" s="3" t="s">
        <v>21</v>
      </c>
      <c r="F695" s="3" t="s">
        <v>18</v>
      </c>
      <c r="G695" s="3">
        <v>1490</v>
      </c>
      <c r="H695" s="3">
        <v>93.57</v>
      </c>
      <c r="I695" s="3">
        <v>81.680000000000007</v>
      </c>
      <c r="J695" s="3">
        <v>29</v>
      </c>
      <c r="K695" s="3" t="s">
        <v>15</v>
      </c>
      <c r="L695" s="3">
        <f t="shared" si="40"/>
        <v>13</v>
      </c>
      <c r="M695" s="4">
        <f t="shared" si="41"/>
        <v>11.889999999999986</v>
      </c>
      <c r="N695" s="6">
        <f t="shared" si="42"/>
        <v>0.1270706422998823</v>
      </c>
      <c r="O695" s="4">
        <f t="shared" si="43"/>
        <v>17716.09999999998</v>
      </c>
    </row>
    <row r="696" spans="1:15" x14ac:dyDescent="0.3">
      <c r="A696" s="3" t="s">
        <v>721</v>
      </c>
      <c r="B696" s="3" t="s">
        <v>17</v>
      </c>
      <c r="C696" s="5">
        <v>45008</v>
      </c>
      <c r="D696" s="5">
        <v>45016</v>
      </c>
      <c r="E696" s="3" t="s">
        <v>26</v>
      </c>
      <c r="F696" s="3" t="s">
        <v>18</v>
      </c>
      <c r="G696" s="3">
        <v>1241</v>
      </c>
      <c r="H696" s="3">
        <v>100.04</v>
      </c>
      <c r="I696" s="3">
        <v>97.56</v>
      </c>
      <c r="J696" s="3">
        <v>187</v>
      </c>
      <c r="K696" s="3" t="s">
        <v>15</v>
      </c>
      <c r="L696" s="3">
        <f t="shared" si="40"/>
        <v>8</v>
      </c>
      <c r="M696" s="4">
        <f t="shared" si="41"/>
        <v>2.480000000000004</v>
      </c>
      <c r="N696" s="6">
        <f t="shared" si="42"/>
        <v>2.4790083966413475E-2</v>
      </c>
      <c r="O696" s="4">
        <f t="shared" si="43"/>
        <v>3077.6800000000048</v>
      </c>
    </row>
    <row r="697" spans="1:15" x14ac:dyDescent="0.3">
      <c r="A697" s="3" t="s">
        <v>722</v>
      </c>
      <c r="B697" s="3" t="s">
        <v>23</v>
      </c>
      <c r="C697" s="5">
        <v>45059</v>
      </c>
      <c r="D697" s="5">
        <v>45063</v>
      </c>
      <c r="E697" s="3" t="s">
        <v>21</v>
      </c>
      <c r="F697" s="3" t="s">
        <v>18</v>
      </c>
      <c r="G697" s="3">
        <v>1915</v>
      </c>
      <c r="H697" s="3">
        <v>107.51</v>
      </c>
      <c r="I697" s="3">
        <v>102.66</v>
      </c>
      <c r="J697" s="3">
        <v>184</v>
      </c>
      <c r="K697" s="3" t="s">
        <v>15</v>
      </c>
      <c r="L697" s="3">
        <f t="shared" si="40"/>
        <v>4</v>
      </c>
      <c r="M697" s="4">
        <f t="shared" si="41"/>
        <v>4.8500000000000085</v>
      </c>
      <c r="N697" s="6">
        <f t="shared" si="42"/>
        <v>4.5112082596967799E-2</v>
      </c>
      <c r="O697" s="4">
        <f t="shared" si="43"/>
        <v>9287.7500000000164</v>
      </c>
    </row>
    <row r="698" spans="1:15" x14ac:dyDescent="0.3">
      <c r="A698" s="3" t="s">
        <v>723</v>
      </c>
      <c r="B698" s="3" t="s">
        <v>23</v>
      </c>
      <c r="C698" s="5">
        <v>44591</v>
      </c>
      <c r="D698" s="5">
        <v>44606</v>
      </c>
      <c r="E698" s="3" t="s">
        <v>26</v>
      </c>
      <c r="F698" s="3" t="s">
        <v>18</v>
      </c>
      <c r="G698" s="3">
        <v>1116</v>
      </c>
      <c r="H698" s="3">
        <v>25.65</v>
      </c>
      <c r="I698" s="3">
        <v>24.28</v>
      </c>
      <c r="J698" s="3">
        <v>121</v>
      </c>
      <c r="K698" s="3" t="s">
        <v>15</v>
      </c>
      <c r="L698" s="3">
        <f t="shared" si="40"/>
        <v>15</v>
      </c>
      <c r="M698" s="4">
        <f t="shared" si="41"/>
        <v>1.3699999999999974</v>
      </c>
      <c r="N698" s="6">
        <f t="shared" si="42"/>
        <v>5.3411306042884896E-2</v>
      </c>
      <c r="O698" s="4">
        <f t="shared" si="43"/>
        <v>1528.9199999999971</v>
      </c>
    </row>
    <row r="699" spans="1:15" x14ac:dyDescent="0.3">
      <c r="A699" s="3" t="s">
        <v>724</v>
      </c>
      <c r="B699" s="3" t="s">
        <v>17</v>
      </c>
      <c r="C699" s="5">
        <v>44960</v>
      </c>
      <c r="D699" s="5">
        <v>44965</v>
      </c>
      <c r="E699" s="3" t="s">
        <v>26</v>
      </c>
      <c r="F699" s="3" t="s">
        <v>18</v>
      </c>
      <c r="G699" s="3">
        <v>1629</v>
      </c>
      <c r="H699" s="3">
        <v>48.63</v>
      </c>
      <c r="I699" s="3">
        <v>43.28</v>
      </c>
      <c r="J699" s="3">
        <v>260</v>
      </c>
      <c r="K699" s="3" t="s">
        <v>15</v>
      </c>
      <c r="L699" s="3">
        <f t="shared" si="40"/>
        <v>5</v>
      </c>
      <c r="M699" s="4">
        <f t="shared" si="41"/>
        <v>5.3500000000000014</v>
      </c>
      <c r="N699" s="6">
        <f t="shared" si="42"/>
        <v>0.11001439440674483</v>
      </c>
      <c r="O699" s="4">
        <f t="shared" si="43"/>
        <v>8715.1500000000015</v>
      </c>
    </row>
    <row r="700" spans="1:15" x14ac:dyDescent="0.3">
      <c r="A700" s="3" t="s">
        <v>725</v>
      </c>
      <c r="B700" s="3" t="s">
        <v>29</v>
      </c>
      <c r="C700" s="5">
        <v>44906</v>
      </c>
      <c r="D700" s="5">
        <v>44913</v>
      </c>
      <c r="E700" s="3" t="s">
        <v>13</v>
      </c>
      <c r="F700" s="3" t="s">
        <v>18</v>
      </c>
      <c r="G700" s="3">
        <v>334</v>
      </c>
      <c r="H700" s="3">
        <v>82.54</v>
      </c>
      <c r="I700" s="3">
        <v>74.63</v>
      </c>
      <c r="J700" s="3"/>
      <c r="K700" s="3" t="s">
        <v>15</v>
      </c>
      <c r="L700" s="3">
        <f t="shared" si="40"/>
        <v>7</v>
      </c>
      <c r="M700" s="4">
        <f t="shared" si="41"/>
        <v>7.9100000000000108</v>
      </c>
      <c r="N700" s="6">
        <f t="shared" si="42"/>
        <v>9.5832323721831966E-2</v>
      </c>
      <c r="O700" s="4">
        <f t="shared" si="43"/>
        <v>2641.9400000000037</v>
      </c>
    </row>
    <row r="701" spans="1:15" x14ac:dyDescent="0.3">
      <c r="A701" s="3" t="s">
        <v>726</v>
      </c>
      <c r="B701" s="3" t="s">
        <v>29</v>
      </c>
      <c r="C701" s="5">
        <v>45246</v>
      </c>
      <c r="D701" s="5">
        <v>45266</v>
      </c>
      <c r="E701" s="3" t="s">
        <v>24</v>
      </c>
      <c r="F701" s="3" t="s">
        <v>18</v>
      </c>
      <c r="G701" s="3">
        <v>446</v>
      </c>
      <c r="H701" s="3">
        <v>80.63</v>
      </c>
      <c r="I701" s="3">
        <v>70.37</v>
      </c>
      <c r="J701" s="3"/>
      <c r="K701" s="3" t="s">
        <v>15</v>
      </c>
      <c r="L701" s="3">
        <f t="shared" si="40"/>
        <v>20</v>
      </c>
      <c r="M701" s="4">
        <f t="shared" si="41"/>
        <v>10.259999999999991</v>
      </c>
      <c r="N701" s="6">
        <f t="shared" si="42"/>
        <v>0.12724792260945048</v>
      </c>
      <c r="O701" s="4">
        <f t="shared" si="43"/>
        <v>4575.9599999999955</v>
      </c>
    </row>
    <row r="702" spans="1:15" x14ac:dyDescent="0.3">
      <c r="A702" s="3" t="s">
        <v>727</v>
      </c>
      <c r="B702" s="3" t="s">
        <v>17</v>
      </c>
      <c r="C702" s="5">
        <v>45257</v>
      </c>
      <c r="D702" s="3"/>
      <c r="E702" s="3" t="s">
        <v>39</v>
      </c>
      <c r="F702" s="3" t="s">
        <v>18</v>
      </c>
      <c r="G702" s="3">
        <v>61</v>
      </c>
      <c r="H702" s="3">
        <v>26.47</v>
      </c>
      <c r="I702" s="3">
        <v>24.62</v>
      </c>
      <c r="J702" s="3">
        <v>6</v>
      </c>
      <c r="K702" s="3" t="s">
        <v>15</v>
      </c>
      <c r="L702" s="3" t="str">
        <f t="shared" si="40"/>
        <v/>
      </c>
      <c r="M702" s="4">
        <f t="shared" si="41"/>
        <v>1.8499999999999979</v>
      </c>
      <c r="N702" s="6">
        <f t="shared" si="42"/>
        <v>6.9890442009822362E-2</v>
      </c>
      <c r="O702" s="4">
        <f t="shared" si="43"/>
        <v>112.84999999999987</v>
      </c>
    </row>
    <row r="703" spans="1:15" x14ac:dyDescent="0.3">
      <c r="A703" s="3" t="s">
        <v>728</v>
      </c>
      <c r="B703" s="3" t="s">
        <v>17</v>
      </c>
      <c r="C703" s="5">
        <v>44976</v>
      </c>
      <c r="D703" s="5">
        <v>44978</v>
      </c>
      <c r="E703" s="3" t="s">
        <v>24</v>
      </c>
      <c r="F703" s="3" t="s">
        <v>18</v>
      </c>
      <c r="G703" s="3">
        <v>1680</v>
      </c>
      <c r="H703" s="3">
        <v>88.85</v>
      </c>
      <c r="I703" s="3">
        <v>87.53</v>
      </c>
      <c r="J703" s="3"/>
      <c r="K703" s="3" t="s">
        <v>15</v>
      </c>
      <c r="L703" s="3">
        <f t="shared" si="40"/>
        <v>2</v>
      </c>
      <c r="M703" s="4">
        <f t="shared" si="41"/>
        <v>1.3199999999999932</v>
      </c>
      <c r="N703" s="6">
        <f t="shared" si="42"/>
        <v>1.4856499718626823E-2</v>
      </c>
      <c r="O703" s="4">
        <f t="shared" si="43"/>
        <v>2217.5999999999885</v>
      </c>
    </row>
    <row r="704" spans="1:15" x14ac:dyDescent="0.3">
      <c r="A704" s="3" t="s">
        <v>729</v>
      </c>
      <c r="B704" s="3" t="s">
        <v>17</v>
      </c>
      <c r="C704" s="5">
        <v>44731</v>
      </c>
      <c r="D704" s="5">
        <v>44748</v>
      </c>
      <c r="E704" s="3" t="s">
        <v>39</v>
      </c>
      <c r="F704" s="3" t="s">
        <v>18</v>
      </c>
      <c r="G704" s="3">
        <v>1375</v>
      </c>
      <c r="H704" s="3">
        <v>30.95</v>
      </c>
      <c r="I704" s="3">
        <v>30.02</v>
      </c>
      <c r="J704" s="3">
        <v>223</v>
      </c>
      <c r="K704" s="3" t="s">
        <v>15</v>
      </c>
      <c r="L704" s="3">
        <f t="shared" si="40"/>
        <v>17</v>
      </c>
      <c r="M704" s="4">
        <f t="shared" si="41"/>
        <v>0.92999999999999972</v>
      </c>
      <c r="N704" s="6">
        <f t="shared" si="42"/>
        <v>3.0048465266558959E-2</v>
      </c>
      <c r="O704" s="4">
        <f t="shared" si="43"/>
        <v>1278.7499999999995</v>
      </c>
    </row>
    <row r="705" spans="1:15" x14ac:dyDescent="0.3">
      <c r="A705" s="3" t="s">
        <v>730</v>
      </c>
      <c r="B705" s="3" t="s">
        <v>17</v>
      </c>
      <c r="C705" s="5">
        <v>45040</v>
      </c>
      <c r="D705" s="5">
        <v>45051</v>
      </c>
      <c r="E705" s="3" t="s">
        <v>39</v>
      </c>
      <c r="F705" s="3" t="s">
        <v>33</v>
      </c>
      <c r="G705" s="3">
        <v>1971</v>
      </c>
      <c r="H705" s="3">
        <v>32.4</v>
      </c>
      <c r="I705" s="3">
        <v>30.48</v>
      </c>
      <c r="J705" s="3">
        <v>321</v>
      </c>
      <c r="K705" s="3" t="s">
        <v>15</v>
      </c>
      <c r="L705" s="3">
        <f t="shared" si="40"/>
        <v>11</v>
      </c>
      <c r="M705" s="4">
        <f t="shared" si="41"/>
        <v>1.9199999999999982</v>
      </c>
      <c r="N705" s="6">
        <f t="shared" si="42"/>
        <v>5.9259259259259206E-2</v>
      </c>
      <c r="O705" s="4">
        <f t="shared" si="43"/>
        <v>3784.3199999999965</v>
      </c>
    </row>
    <row r="706" spans="1:15" x14ac:dyDescent="0.3">
      <c r="A706" s="3" t="s">
        <v>731</v>
      </c>
      <c r="B706" s="3" t="s">
        <v>17</v>
      </c>
      <c r="C706" s="5">
        <v>44692</v>
      </c>
      <c r="D706" s="3"/>
      <c r="E706" s="3" t="s">
        <v>26</v>
      </c>
      <c r="F706" s="3" t="s">
        <v>35</v>
      </c>
      <c r="G706" s="3">
        <v>1326</v>
      </c>
      <c r="H706" s="3">
        <v>59.49</v>
      </c>
      <c r="I706" s="3">
        <v>56.21</v>
      </c>
      <c r="J706" s="3"/>
      <c r="K706" s="3" t="s">
        <v>15</v>
      </c>
      <c r="L706" s="3" t="str">
        <f t="shared" si="40"/>
        <v/>
      </c>
      <c r="M706" s="4">
        <f t="shared" si="41"/>
        <v>3.2800000000000011</v>
      </c>
      <c r="N706" s="6">
        <f t="shared" si="42"/>
        <v>5.5135316859976483E-2</v>
      </c>
      <c r="O706" s="4">
        <f t="shared" si="43"/>
        <v>4349.2800000000016</v>
      </c>
    </row>
    <row r="707" spans="1:15" x14ac:dyDescent="0.3">
      <c r="A707" s="3" t="s">
        <v>732</v>
      </c>
      <c r="B707" s="3" t="s">
        <v>17</v>
      </c>
      <c r="C707" s="5">
        <v>45199</v>
      </c>
      <c r="D707" s="5">
        <v>45212</v>
      </c>
      <c r="E707" s="3" t="s">
        <v>21</v>
      </c>
      <c r="F707" s="3" t="s">
        <v>14</v>
      </c>
      <c r="G707" s="3">
        <v>548</v>
      </c>
      <c r="H707" s="3">
        <v>69.7</v>
      </c>
      <c r="I707" s="3">
        <v>61.87</v>
      </c>
      <c r="J707" s="3">
        <v>90</v>
      </c>
      <c r="K707" s="3" t="s">
        <v>15</v>
      </c>
      <c r="L707" s="3">
        <f t="shared" ref="L707:L770" si="44">IF(OR(C707="",D707=""),"",D707-C707)</f>
        <v>13</v>
      </c>
      <c r="M707" s="4">
        <f t="shared" ref="M707:M770" si="45">H707-I707</f>
        <v>7.8300000000000054</v>
      </c>
      <c r="N707" s="6">
        <f t="shared" ref="N707:N770" si="46">IFERROR((H707-I707)/H707,0)</f>
        <v>0.1123385939741751</v>
      </c>
      <c r="O707" s="4">
        <f t="shared" ref="O707:O770" si="47">(H707-I707)*G707</f>
        <v>4290.8400000000029</v>
      </c>
    </row>
    <row r="708" spans="1:15" x14ac:dyDescent="0.3">
      <c r="A708" s="3" t="s">
        <v>733</v>
      </c>
      <c r="B708" s="3" t="s">
        <v>23</v>
      </c>
      <c r="C708" s="5">
        <v>45108</v>
      </c>
      <c r="D708" s="5">
        <v>45114</v>
      </c>
      <c r="E708" s="3" t="s">
        <v>21</v>
      </c>
      <c r="F708" s="3" t="s">
        <v>18</v>
      </c>
      <c r="G708" s="3">
        <v>803</v>
      </c>
      <c r="H708" s="3">
        <v>67.81</v>
      </c>
      <c r="I708" s="3">
        <v>61.53</v>
      </c>
      <c r="J708" s="3">
        <v>78</v>
      </c>
      <c r="K708" s="3" t="s">
        <v>15</v>
      </c>
      <c r="L708" s="3">
        <f t="shared" si="44"/>
        <v>6</v>
      </c>
      <c r="M708" s="4">
        <f t="shared" si="45"/>
        <v>6.2800000000000011</v>
      </c>
      <c r="N708" s="6">
        <f t="shared" si="46"/>
        <v>9.2611709187435498E-2</v>
      </c>
      <c r="O708" s="4">
        <f t="shared" si="47"/>
        <v>5042.8400000000011</v>
      </c>
    </row>
    <row r="709" spans="1:15" x14ac:dyDescent="0.3">
      <c r="A709" s="3" t="s">
        <v>734</v>
      </c>
      <c r="B709" s="3" t="s">
        <v>12</v>
      </c>
      <c r="C709" s="5">
        <v>44589</v>
      </c>
      <c r="D709" s="5">
        <v>44607</v>
      </c>
      <c r="E709" s="3" t="s">
        <v>21</v>
      </c>
      <c r="F709" s="3" t="s">
        <v>18</v>
      </c>
      <c r="G709" s="3">
        <v>84</v>
      </c>
      <c r="H709" s="3">
        <v>18.23</v>
      </c>
      <c r="I709" s="3">
        <v>15.55</v>
      </c>
      <c r="J709" s="3">
        <v>0</v>
      </c>
      <c r="K709" s="3" t="s">
        <v>15</v>
      </c>
      <c r="L709" s="3">
        <f t="shared" si="44"/>
        <v>18</v>
      </c>
      <c r="M709" s="4">
        <f t="shared" si="45"/>
        <v>2.6799999999999997</v>
      </c>
      <c r="N709" s="6">
        <f t="shared" si="46"/>
        <v>0.14701042238069115</v>
      </c>
      <c r="O709" s="4">
        <f t="shared" si="47"/>
        <v>225.11999999999998</v>
      </c>
    </row>
    <row r="710" spans="1:15" x14ac:dyDescent="0.3">
      <c r="A710" s="3" t="s">
        <v>735</v>
      </c>
      <c r="B710" s="3" t="s">
        <v>29</v>
      </c>
      <c r="C710" s="5">
        <v>44965</v>
      </c>
      <c r="D710" s="5">
        <v>44977</v>
      </c>
      <c r="E710" s="3" t="s">
        <v>24</v>
      </c>
      <c r="F710" s="3" t="s">
        <v>18</v>
      </c>
      <c r="G710" s="3">
        <v>776</v>
      </c>
      <c r="H710" s="3">
        <v>94.75</v>
      </c>
      <c r="I710" s="3">
        <v>90.89</v>
      </c>
      <c r="J710" s="3">
        <v>19</v>
      </c>
      <c r="K710" s="3" t="s">
        <v>15</v>
      </c>
      <c r="L710" s="3">
        <f t="shared" si="44"/>
        <v>12</v>
      </c>
      <c r="M710" s="4">
        <f t="shared" si="45"/>
        <v>3.8599999999999994</v>
      </c>
      <c r="N710" s="6">
        <f t="shared" si="46"/>
        <v>4.0738786279683373E-2</v>
      </c>
      <c r="O710" s="4">
        <f t="shared" si="47"/>
        <v>2995.3599999999997</v>
      </c>
    </row>
    <row r="711" spans="1:15" x14ac:dyDescent="0.3">
      <c r="A711" s="3" t="s">
        <v>736</v>
      </c>
      <c r="B711" s="3" t="s">
        <v>12</v>
      </c>
      <c r="C711" s="5">
        <v>45168</v>
      </c>
      <c r="D711" s="5">
        <v>45177</v>
      </c>
      <c r="E711" s="3" t="s">
        <v>21</v>
      </c>
      <c r="F711" s="3" t="s">
        <v>18</v>
      </c>
      <c r="G711" s="3">
        <v>898</v>
      </c>
      <c r="H711" s="3">
        <v>37.119999999999997</v>
      </c>
      <c r="I711" s="3">
        <v>35.54</v>
      </c>
      <c r="J711" s="3">
        <v>18</v>
      </c>
      <c r="K711" s="3" t="s">
        <v>27</v>
      </c>
      <c r="L711" s="3">
        <f t="shared" si="44"/>
        <v>9</v>
      </c>
      <c r="M711" s="4">
        <f t="shared" si="45"/>
        <v>1.5799999999999983</v>
      </c>
      <c r="N711" s="6">
        <f t="shared" si="46"/>
        <v>4.256465517241375E-2</v>
      </c>
      <c r="O711" s="4">
        <f t="shared" si="47"/>
        <v>1418.8399999999986</v>
      </c>
    </row>
    <row r="712" spans="1:15" x14ac:dyDescent="0.3">
      <c r="A712" s="3" t="s">
        <v>737</v>
      </c>
      <c r="B712" s="3" t="s">
        <v>23</v>
      </c>
      <c r="C712" s="5">
        <v>45139</v>
      </c>
      <c r="D712" s="5">
        <v>45146</v>
      </c>
      <c r="E712" s="3" t="s">
        <v>13</v>
      </c>
      <c r="F712" s="3" t="s">
        <v>14</v>
      </c>
      <c r="G712" s="3">
        <v>139</v>
      </c>
      <c r="H712" s="3">
        <v>23.71</v>
      </c>
      <c r="I712" s="3">
        <v>20.18</v>
      </c>
      <c r="J712" s="3">
        <v>14</v>
      </c>
      <c r="K712" s="3" t="s">
        <v>15</v>
      </c>
      <c r="L712" s="3">
        <f t="shared" si="44"/>
        <v>7</v>
      </c>
      <c r="M712" s="4">
        <f t="shared" si="45"/>
        <v>3.5300000000000011</v>
      </c>
      <c r="N712" s="6">
        <f t="shared" si="46"/>
        <v>0.14888232813159008</v>
      </c>
      <c r="O712" s="4">
        <f t="shared" si="47"/>
        <v>490.67000000000019</v>
      </c>
    </row>
    <row r="713" spans="1:15" x14ac:dyDescent="0.3">
      <c r="A713" s="3" t="s">
        <v>738</v>
      </c>
      <c r="B713" s="3" t="s">
        <v>20</v>
      </c>
      <c r="C713" s="5">
        <v>45240</v>
      </c>
      <c r="D713" s="3"/>
      <c r="E713" s="3" t="s">
        <v>26</v>
      </c>
      <c r="F713" s="3" t="s">
        <v>18</v>
      </c>
      <c r="G713" s="3">
        <v>825</v>
      </c>
      <c r="H713" s="3">
        <v>99.89</v>
      </c>
      <c r="I713" s="3">
        <v>97.65</v>
      </c>
      <c r="J713" s="3">
        <v>30</v>
      </c>
      <c r="K713" s="3" t="s">
        <v>15</v>
      </c>
      <c r="L713" s="3" t="str">
        <f t="shared" si="44"/>
        <v/>
      </c>
      <c r="M713" s="4">
        <f t="shared" si="45"/>
        <v>2.2399999999999949</v>
      </c>
      <c r="N713" s="6">
        <f t="shared" si="46"/>
        <v>2.2424667133847182E-2</v>
      </c>
      <c r="O713" s="4">
        <f t="shared" si="47"/>
        <v>1847.9999999999957</v>
      </c>
    </row>
    <row r="714" spans="1:15" x14ac:dyDescent="0.3">
      <c r="A714" s="3" t="s">
        <v>739</v>
      </c>
      <c r="B714" s="3" t="s">
        <v>12</v>
      </c>
      <c r="C714" s="5">
        <v>44589</v>
      </c>
      <c r="D714" s="5">
        <v>44599</v>
      </c>
      <c r="E714" s="3" t="s">
        <v>21</v>
      </c>
      <c r="F714" s="3" t="s">
        <v>18</v>
      </c>
      <c r="G714" s="3">
        <v>654</v>
      </c>
      <c r="H714" s="3">
        <v>96.01</v>
      </c>
      <c r="I714" s="3">
        <v>90.31</v>
      </c>
      <c r="J714" s="3">
        <v>10</v>
      </c>
      <c r="K714" s="3" t="s">
        <v>15</v>
      </c>
      <c r="L714" s="3">
        <f t="shared" si="44"/>
        <v>10</v>
      </c>
      <c r="M714" s="4">
        <f t="shared" si="45"/>
        <v>5.7000000000000028</v>
      </c>
      <c r="N714" s="6">
        <f t="shared" si="46"/>
        <v>5.9368815748359574E-2</v>
      </c>
      <c r="O714" s="4">
        <f t="shared" si="47"/>
        <v>3727.800000000002</v>
      </c>
    </row>
    <row r="715" spans="1:15" x14ac:dyDescent="0.3">
      <c r="A715" s="3" t="s">
        <v>740</v>
      </c>
      <c r="B715" s="3" t="s">
        <v>20</v>
      </c>
      <c r="C715" s="5">
        <v>44647</v>
      </c>
      <c r="D715" s="5">
        <v>44657</v>
      </c>
      <c r="E715" s="3" t="s">
        <v>21</v>
      </c>
      <c r="F715" s="3" t="s">
        <v>18</v>
      </c>
      <c r="G715" s="3">
        <v>1995</v>
      </c>
      <c r="H715" s="3">
        <v>88.47</v>
      </c>
      <c r="I715" s="3">
        <v>82.65</v>
      </c>
      <c r="J715" s="3">
        <v>87</v>
      </c>
      <c r="K715" s="3" t="s">
        <v>27</v>
      </c>
      <c r="L715" s="3">
        <f t="shared" si="44"/>
        <v>10</v>
      </c>
      <c r="M715" s="4">
        <f t="shared" si="45"/>
        <v>5.8199999999999932</v>
      </c>
      <c r="N715" s="6">
        <f t="shared" si="46"/>
        <v>6.5785011868429902E-2</v>
      </c>
      <c r="O715" s="4">
        <f t="shared" si="47"/>
        <v>11610.899999999987</v>
      </c>
    </row>
    <row r="716" spans="1:15" x14ac:dyDescent="0.3">
      <c r="A716" s="3" t="s">
        <v>741</v>
      </c>
      <c r="B716" s="3" t="s">
        <v>23</v>
      </c>
      <c r="C716" s="5">
        <v>45220</v>
      </c>
      <c r="D716" s="5">
        <v>45227</v>
      </c>
      <c r="E716" s="3" t="s">
        <v>21</v>
      </c>
      <c r="F716" s="3" t="s">
        <v>18</v>
      </c>
      <c r="G716" s="3">
        <v>1019</v>
      </c>
      <c r="H716" s="3">
        <v>91.56</v>
      </c>
      <c r="I716" s="3">
        <v>77.930000000000007</v>
      </c>
      <c r="J716" s="3">
        <v>111</v>
      </c>
      <c r="K716" s="3" t="s">
        <v>27</v>
      </c>
      <c r="L716" s="3">
        <f t="shared" si="44"/>
        <v>7</v>
      </c>
      <c r="M716" s="4">
        <f t="shared" si="45"/>
        <v>13.629999999999995</v>
      </c>
      <c r="N716" s="6">
        <f t="shared" si="46"/>
        <v>0.14886413280908689</v>
      </c>
      <c r="O716" s="4">
        <f t="shared" si="47"/>
        <v>13888.969999999996</v>
      </c>
    </row>
    <row r="717" spans="1:15" x14ac:dyDescent="0.3">
      <c r="A717" s="3" t="s">
        <v>742</v>
      </c>
      <c r="B717" s="3" t="s">
        <v>29</v>
      </c>
      <c r="C717" s="5">
        <v>45000</v>
      </c>
      <c r="D717" s="5">
        <v>45016</v>
      </c>
      <c r="E717" s="3" t="s">
        <v>24</v>
      </c>
      <c r="F717" s="3" t="s">
        <v>35</v>
      </c>
      <c r="G717" s="3">
        <v>1675</v>
      </c>
      <c r="H717" s="3">
        <v>73.8</v>
      </c>
      <c r="I717" s="3">
        <v>65.34</v>
      </c>
      <c r="J717" s="3">
        <v>42</v>
      </c>
      <c r="K717" s="3" t="s">
        <v>15</v>
      </c>
      <c r="L717" s="3">
        <f t="shared" si="44"/>
        <v>16</v>
      </c>
      <c r="M717" s="4">
        <f t="shared" si="45"/>
        <v>8.4599999999999937</v>
      </c>
      <c r="N717" s="6">
        <f t="shared" si="46"/>
        <v>0.11463414634146334</v>
      </c>
      <c r="O717" s="4">
        <f t="shared" si="47"/>
        <v>14170.499999999989</v>
      </c>
    </row>
    <row r="718" spans="1:15" x14ac:dyDescent="0.3">
      <c r="A718" s="3" t="s">
        <v>743</v>
      </c>
      <c r="B718" s="3" t="s">
        <v>20</v>
      </c>
      <c r="C718" s="5">
        <v>44700</v>
      </c>
      <c r="D718" s="5">
        <v>44712</v>
      </c>
      <c r="E718" s="3" t="s">
        <v>26</v>
      </c>
      <c r="F718" s="3" t="s">
        <v>35</v>
      </c>
      <c r="G718" s="3">
        <v>1071</v>
      </c>
      <c r="H718" s="3">
        <v>60.77</v>
      </c>
      <c r="I718" s="3">
        <v>58.5</v>
      </c>
      <c r="J718" s="3"/>
      <c r="K718" s="3" t="s">
        <v>15</v>
      </c>
      <c r="L718" s="3">
        <f t="shared" si="44"/>
        <v>12</v>
      </c>
      <c r="M718" s="4">
        <f t="shared" si="45"/>
        <v>2.2700000000000031</v>
      </c>
      <c r="N718" s="6">
        <f t="shared" si="46"/>
        <v>3.7353957544841256E-2</v>
      </c>
      <c r="O718" s="4">
        <f t="shared" si="47"/>
        <v>2431.1700000000033</v>
      </c>
    </row>
    <row r="719" spans="1:15" x14ac:dyDescent="0.3">
      <c r="A719" s="3" t="s">
        <v>744</v>
      </c>
      <c r="B719" s="3" t="s">
        <v>23</v>
      </c>
      <c r="C719" s="5">
        <v>45034</v>
      </c>
      <c r="D719" s="5">
        <v>45043</v>
      </c>
      <c r="E719" s="3" t="s">
        <v>13</v>
      </c>
      <c r="F719" s="3" t="s">
        <v>18</v>
      </c>
      <c r="G719" s="3">
        <v>467</v>
      </c>
      <c r="H719" s="3">
        <v>19.170000000000002</v>
      </c>
      <c r="I719" s="3">
        <v>17.11</v>
      </c>
      <c r="J719" s="3">
        <v>49</v>
      </c>
      <c r="K719" s="3" t="s">
        <v>15</v>
      </c>
      <c r="L719" s="3">
        <f t="shared" si="44"/>
        <v>9</v>
      </c>
      <c r="M719" s="4">
        <f t="shared" si="45"/>
        <v>2.0600000000000023</v>
      </c>
      <c r="N719" s="6">
        <f t="shared" si="46"/>
        <v>0.10745957224830475</v>
      </c>
      <c r="O719" s="4">
        <f t="shared" si="47"/>
        <v>962.02000000000112</v>
      </c>
    </row>
    <row r="720" spans="1:15" x14ac:dyDescent="0.3">
      <c r="A720" s="3" t="s">
        <v>745</v>
      </c>
      <c r="B720" s="3" t="s">
        <v>17</v>
      </c>
      <c r="C720" s="5">
        <v>44748</v>
      </c>
      <c r="D720" s="5">
        <v>44767</v>
      </c>
      <c r="E720" s="3" t="s">
        <v>21</v>
      </c>
      <c r="F720" s="3" t="s">
        <v>35</v>
      </c>
      <c r="G720" s="3">
        <v>164</v>
      </c>
      <c r="H720" s="3">
        <v>48.16</v>
      </c>
      <c r="I720" s="3">
        <v>47.46</v>
      </c>
      <c r="J720" s="3">
        <v>27</v>
      </c>
      <c r="K720" s="3" t="s">
        <v>15</v>
      </c>
      <c r="L720" s="3">
        <f t="shared" si="44"/>
        <v>19</v>
      </c>
      <c r="M720" s="4">
        <f t="shared" si="45"/>
        <v>0.69999999999999574</v>
      </c>
      <c r="N720" s="6">
        <f t="shared" si="46"/>
        <v>1.4534883720930146E-2</v>
      </c>
      <c r="O720" s="4">
        <f t="shared" si="47"/>
        <v>114.7999999999993</v>
      </c>
    </row>
    <row r="721" spans="1:15" x14ac:dyDescent="0.3">
      <c r="A721" s="3" t="s">
        <v>746</v>
      </c>
      <c r="B721" s="3" t="s">
        <v>29</v>
      </c>
      <c r="C721" s="5">
        <v>44613</v>
      </c>
      <c r="D721" s="5">
        <v>44626</v>
      </c>
      <c r="E721" s="3" t="s">
        <v>39</v>
      </c>
      <c r="F721" s="3" t="s">
        <v>14</v>
      </c>
      <c r="G721" s="3">
        <v>666</v>
      </c>
      <c r="H721" s="3">
        <v>43.76</v>
      </c>
      <c r="I721" s="3">
        <v>41.13</v>
      </c>
      <c r="J721" s="3">
        <v>18</v>
      </c>
      <c r="K721" s="3" t="s">
        <v>15</v>
      </c>
      <c r="L721" s="3">
        <f t="shared" si="44"/>
        <v>13</v>
      </c>
      <c r="M721" s="4">
        <f t="shared" si="45"/>
        <v>2.6299999999999955</v>
      </c>
      <c r="N721" s="6">
        <f t="shared" si="46"/>
        <v>6.0100548446069366E-2</v>
      </c>
      <c r="O721" s="4">
        <f t="shared" si="47"/>
        <v>1751.579999999997</v>
      </c>
    </row>
    <row r="722" spans="1:15" x14ac:dyDescent="0.3">
      <c r="A722" s="3" t="s">
        <v>747</v>
      </c>
      <c r="B722" s="3" t="s">
        <v>17</v>
      </c>
      <c r="C722" s="5">
        <v>44828</v>
      </c>
      <c r="D722" s="5">
        <v>44841</v>
      </c>
      <c r="E722" s="3" t="s">
        <v>24</v>
      </c>
      <c r="F722" s="3" t="s">
        <v>33</v>
      </c>
      <c r="G722" s="3">
        <v>1976</v>
      </c>
      <c r="H722" s="3">
        <v>34.71</v>
      </c>
      <c r="I722" s="3">
        <v>31.56</v>
      </c>
      <c r="J722" s="3">
        <v>286</v>
      </c>
      <c r="K722" s="3" t="s">
        <v>27</v>
      </c>
      <c r="L722" s="3">
        <f t="shared" si="44"/>
        <v>13</v>
      </c>
      <c r="M722" s="4">
        <f t="shared" si="45"/>
        <v>3.1500000000000021</v>
      </c>
      <c r="N722" s="6">
        <f t="shared" si="46"/>
        <v>9.0751944684529018E-2</v>
      </c>
      <c r="O722" s="4">
        <f t="shared" si="47"/>
        <v>6224.4000000000042</v>
      </c>
    </row>
    <row r="723" spans="1:15" x14ac:dyDescent="0.3">
      <c r="A723" s="3" t="s">
        <v>748</v>
      </c>
      <c r="B723" s="3" t="s">
        <v>29</v>
      </c>
      <c r="C723" s="5">
        <v>44950</v>
      </c>
      <c r="D723" s="5">
        <v>44955</v>
      </c>
      <c r="E723" s="3" t="s">
        <v>21</v>
      </c>
      <c r="F723" s="3" t="s">
        <v>18</v>
      </c>
      <c r="G723" s="3">
        <v>1269</v>
      </c>
      <c r="H723" s="3">
        <v>79.61</v>
      </c>
      <c r="I723" s="3">
        <v>71.86</v>
      </c>
      <c r="J723" s="3">
        <v>47</v>
      </c>
      <c r="K723" s="3" t="s">
        <v>15</v>
      </c>
      <c r="L723" s="3">
        <f t="shared" si="44"/>
        <v>5</v>
      </c>
      <c r="M723" s="4">
        <f t="shared" si="45"/>
        <v>7.75</v>
      </c>
      <c r="N723" s="6">
        <f t="shared" si="46"/>
        <v>9.7349579198593147E-2</v>
      </c>
      <c r="O723" s="4">
        <f t="shared" si="47"/>
        <v>9834.75</v>
      </c>
    </row>
    <row r="724" spans="1:15" x14ac:dyDescent="0.3">
      <c r="A724" s="3" t="s">
        <v>749</v>
      </c>
      <c r="B724" s="3" t="s">
        <v>29</v>
      </c>
      <c r="C724" s="5">
        <v>44897</v>
      </c>
      <c r="D724" s="5">
        <v>44907</v>
      </c>
      <c r="E724" s="3" t="s">
        <v>21</v>
      </c>
      <c r="F724" s="3" t="s">
        <v>18</v>
      </c>
      <c r="G724" s="3">
        <v>875</v>
      </c>
      <c r="H724" s="3">
        <v>57.63</v>
      </c>
      <c r="I724" s="3">
        <v>51.8</v>
      </c>
      <c r="J724" s="3">
        <v>16</v>
      </c>
      <c r="K724" s="3" t="s">
        <v>15</v>
      </c>
      <c r="L724" s="3">
        <f t="shared" si="44"/>
        <v>10</v>
      </c>
      <c r="M724" s="4">
        <f t="shared" si="45"/>
        <v>5.8300000000000054</v>
      </c>
      <c r="N724" s="6">
        <f t="shared" si="46"/>
        <v>0.10116258892937716</v>
      </c>
      <c r="O724" s="4">
        <f t="shared" si="47"/>
        <v>5101.2500000000045</v>
      </c>
    </row>
    <row r="725" spans="1:15" x14ac:dyDescent="0.3">
      <c r="A725" s="3" t="s">
        <v>750</v>
      </c>
      <c r="B725" s="3" t="s">
        <v>12</v>
      </c>
      <c r="C725" s="5">
        <v>44778</v>
      </c>
      <c r="D725" s="3"/>
      <c r="E725" s="3" t="s">
        <v>24</v>
      </c>
      <c r="F725" s="3" t="s">
        <v>33</v>
      </c>
      <c r="G725" s="3">
        <v>1574</v>
      </c>
      <c r="H725" s="3">
        <v>17.899999999999999</v>
      </c>
      <c r="I725" s="3">
        <v>15.85</v>
      </c>
      <c r="J725" s="3">
        <v>31</v>
      </c>
      <c r="K725" s="3" t="s">
        <v>15</v>
      </c>
      <c r="L725" s="3" t="str">
        <f t="shared" si="44"/>
        <v/>
      </c>
      <c r="M725" s="4">
        <f t="shared" si="45"/>
        <v>2.0499999999999989</v>
      </c>
      <c r="N725" s="6">
        <f t="shared" si="46"/>
        <v>0.11452513966480442</v>
      </c>
      <c r="O725" s="4">
        <f t="shared" si="47"/>
        <v>3226.6999999999985</v>
      </c>
    </row>
    <row r="726" spans="1:15" x14ac:dyDescent="0.3">
      <c r="A726" s="3" t="s">
        <v>751</v>
      </c>
      <c r="B726" s="3" t="s">
        <v>29</v>
      </c>
      <c r="C726" s="5">
        <v>45027</v>
      </c>
      <c r="D726" s="5">
        <v>45042</v>
      </c>
      <c r="E726" s="3" t="s">
        <v>13</v>
      </c>
      <c r="F726" s="3" t="s">
        <v>33</v>
      </c>
      <c r="G726" s="3">
        <v>1699</v>
      </c>
      <c r="H726" s="3">
        <v>32.049999999999997</v>
      </c>
      <c r="I726" s="3">
        <v>29.34</v>
      </c>
      <c r="J726" s="3">
        <v>69</v>
      </c>
      <c r="K726" s="3" t="s">
        <v>15</v>
      </c>
      <c r="L726" s="3">
        <f t="shared" si="44"/>
        <v>15</v>
      </c>
      <c r="M726" s="4">
        <f t="shared" si="45"/>
        <v>2.7099999999999973</v>
      </c>
      <c r="N726" s="6">
        <f t="shared" si="46"/>
        <v>8.4555382215288535E-2</v>
      </c>
      <c r="O726" s="4">
        <f t="shared" si="47"/>
        <v>4604.2899999999954</v>
      </c>
    </row>
    <row r="727" spans="1:15" x14ac:dyDescent="0.3">
      <c r="A727" s="3" t="s">
        <v>752</v>
      </c>
      <c r="B727" s="3" t="s">
        <v>12</v>
      </c>
      <c r="C727" s="5">
        <v>44896</v>
      </c>
      <c r="D727" s="5">
        <v>44912</v>
      </c>
      <c r="E727" s="3" t="s">
        <v>39</v>
      </c>
      <c r="F727" s="3" t="s">
        <v>18</v>
      </c>
      <c r="G727" s="3">
        <v>1566</v>
      </c>
      <c r="H727" s="3">
        <v>75.430000000000007</v>
      </c>
      <c r="I727" s="3">
        <v>71.27</v>
      </c>
      <c r="J727" s="3">
        <v>27</v>
      </c>
      <c r="K727" s="3" t="s">
        <v>15</v>
      </c>
      <c r="L727" s="3">
        <f t="shared" si="44"/>
        <v>16</v>
      </c>
      <c r="M727" s="4">
        <f t="shared" si="45"/>
        <v>4.1600000000000108</v>
      </c>
      <c r="N727" s="6">
        <f t="shared" si="46"/>
        <v>5.515047063502599E-2</v>
      </c>
      <c r="O727" s="4">
        <f t="shared" si="47"/>
        <v>6514.5600000000168</v>
      </c>
    </row>
    <row r="728" spans="1:15" x14ac:dyDescent="0.3">
      <c r="A728" s="3" t="s">
        <v>753</v>
      </c>
      <c r="B728" s="3" t="s">
        <v>20</v>
      </c>
      <c r="C728" s="5">
        <v>44907</v>
      </c>
      <c r="D728" s="5">
        <v>44925</v>
      </c>
      <c r="E728" s="3" t="s">
        <v>39</v>
      </c>
      <c r="F728" s="3" t="s">
        <v>18</v>
      </c>
      <c r="G728" s="3">
        <v>1148</v>
      </c>
      <c r="H728" s="3">
        <v>17.78</v>
      </c>
      <c r="I728" s="3">
        <v>17.16</v>
      </c>
      <c r="J728" s="3">
        <v>61</v>
      </c>
      <c r="K728" s="3" t="s">
        <v>15</v>
      </c>
      <c r="L728" s="3">
        <f t="shared" si="44"/>
        <v>18</v>
      </c>
      <c r="M728" s="4">
        <f t="shared" si="45"/>
        <v>0.62000000000000099</v>
      </c>
      <c r="N728" s="6">
        <f t="shared" si="46"/>
        <v>3.4870641169853819E-2</v>
      </c>
      <c r="O728" s="4">
        <f t="shared" si="47"/>
        <v>711.76000000000113</v>
      </c>
    </row>
    <row r="729" spans="1:15" x14ac:dyDescent="0.3">
      <c r="A729" s="3" t="s">
        <v>754</v>
      </c>
      <c r="B729" s="3" t="s">
        <v>29</v>
      </c>
      <c r="C729" s="5">
        <v>44950</v>
      </c>
      <c r="D729" s="5">
        <v>44968</v>
      </c>
      <c r="E729" s="3" t="s">
        <v>13</v>
      </c>
      <c r="F729" s="3" t="s">
        <v>18</v>
      </c>
      <c r="G729" s="3">
        <v>462</v>
      </c>
      <c r="H729" s="3">
        <v>91.81</v>
      </c>
      <c r="I729" s="3">
        <v>83.14</v>
      </c>
      <c r="J729" s="3">
        <v>11</v>
      </c>
      <c r="K729" s="3" t="s">
        <v>15</v>
      </c>
      <c r="L729" s="3">
        <f t="shared" si="44"/>
        <v>18</v>
      </c>
      <c r="M729" s="4">
        <f t="shared" si="45"/>
        <v>8.6700000000000017</v>
      </c>
      <c r="N729" s="6">
        <f t="shared" si="46"/>
        <v>9.4434157499183116E-2</v>
      </c>
      <c r="O729" s="4">
        <f t="shared" si="47"/>
        <v>4005.5400000000009</v>
      </c>
    </row>
    <row r="730" spans="1:15" x14ac:dyDescent="0.3">
      <c r="A730" s="3" t="s">
        <v>755</v>
      </c>
      <c r="B730" s="3" t="s">
        <v>20</v>
      </c>
      <c r="C730" s="5">
        <v>44846</v>
      </c>
      <c r="D730" s="5">
        <v>44851</v>
      </c>
      <c r="E730" s="3" t="s">
        <v>24</v>
      </c>
      <c r="F730" s="3" t="s">
        <v>18</v>
      </c>
      <c r="G730" s="3">
        <v>1449</v>
      </c>
      <c r="H730" s="3">
        <v>57.02</v>
      </c>
      <c r="I730" s="3">
        <v>49.28</v>
      </c>
      <c r="J730" s="3">
        <v>71</v>
      </c>
      <c r="K730" s="3" t="s">
        <v>15</v>
      </c>
      <c r="L730" s="3">
        <f t="shared" si="44"/>
        <v>5</v>
      </c>
      <c r="M730" s="4">
        <f t="shared" si="45"/>
        <v>7.740000000000002</v>
      </c>
      <c r="N730" s="6">
        <f t="shared" si="46"/>
        <v>0.13574184496667838</v>
      </c>
      <c r="O730" s="4">
        <f t="shared" si="47"/>
        <v>11215.260000000002</v>
      </c>
    </row>
    <row r="731" spans="1:15" x14ac:dyDescent="0.3">
      <c r="A731" s="3" t="s">
        <v>756</v>
      </c>
      <c r="B731" s="3" t="s">
        <v>29</v>
      </c>
      <c r="C731" s="5">
        <v>44993</v>
      </c>
      <c r="D731" s="5">
        <v>45012</v>
      </c>
      <c r="E731" s="3" t="s">
        <v>21</v>
      </c>
      <c r="F731" s="3" t="s">
        <v>18</v>
      </c>
      <c r="G731" s="3">
        <v>1493</v>
      </c>
      <c r="H731" s="3">
        <v>56.98</v>
      </c>
      <c r="I731" s="3">
        <v>52.51</v>
      </c>
      <c r="J731" s="3">
        <v>43</v>
      </c>
      <c r="K731" s="3" t="s">
        <v>15</v>
      </c>
      <c r="L731" s="3">
        <f t="shared" si="44"/>
        <v>19</v>
      </c>
      <c r="M731" s="4">
        <f t="shared" si="45"/>
        <v>4.4699999999999989</v>
      </c>
      <c r="N731" s="6">
        <f t="shared" si="46"/>
        <v>7.8448578448578429E-2</v>
      </c>
      <c r="O731" s="4">
        <f t="shared" si="47"/>
        <v>6673.7099999999982</v>
      </c>
    </row>
    <row r="732" spans="1:15" x14ac:dyDescent="0.3">
      <c r="A732" s="3" t="s">
        <v>757</v>
      </c>
      <c r="B732" s="3" t="s">
        <v>12</v>
      </c>
      <c r="C732" s="5">
        <v>44820</v>
      </c>
      <c r="D732" s="5">
        <v>44822</v>
      </c>
      <c r="E732" s="3" t="s">
        <v>13</v>
      </c>
      <c r="F732" s="3" t="s">
        <v>18</v>
      </c>
      <c r="G732" s="3">
        <v>778</v>
      </c>
      <c r="H732" s="3">
        <v>65.849999999999994</v>
      </c>
      <c r="I732" s="3">
        <v>62.08</v>
      </c>
      <c r="J732" s="3"/>
      <c r="K732" s="3" t="s">
        <v>27</v>
      </c>
      <c r="L732" s="3">
        <f t="shared" si="44"/>
        <v>2</v>
      </c>
      <c r="M732" s="4">
        <f t="shared" si="45"/>
        <v>3.769999999999996</v>
      </c>
      <c r="N732" s="6">
        <f t="shared" si="46"/>
        <v>5.7251328777524625E-2</v>
      </c>
      <c r="O732" s="4">
        <f t="shared" si="47"/>
        <v>2933.0599999999968</v>
      </c>
    </row>
    <row r="733" spans="1:15" x14ac:dyDescent="0.3">
      <c r="A733" s="3" t="s">
        <v>758</v>
      </c>
      <c r="B733" s="3" t="s">
        <v>17</v>
      </c>
      <c r="C733" s="5">
        <v>44645</v>
      </c>
      <c r="D733" s="5">
        <v>44662</v>
      </c>
      <c r="E733" s="3" t="s">
        <v>24</v>
      </c>
      <c r="F733" s="3" t="s">
        <v>33</v>
      </c>
      <c r="G733" s="3">
        <v>1350</v>
      </c>
      <c r="H733" s="3">
        <v>85.06</v>
      </c>
      <c r="I733" s="3">
        <v>82.34</v>
      </c>
      <c r="J733" s="3"/>
      <c r="K733" s="3" t="s">
        <v>27</v>
      </c>
      <c r="L733" s="3">
        <f t="shared" si="44"/>
        <v>17</v>
      </c>
      <c r="M733" s="4">
        <f t="shared" si="45"/>
        <v>2.7199999999999989</v>
      </c>
      <c r="N733" s="6">
        <f t="shared" si="46"/>
        <v>3.1977427698095445E-2</v>
      </c>
      <c r="O733" s="4">
        <f t="shared" si="47"/>
        <v>3671.9999999999986</v>
      </c>
    </row>
    <row r="734" spans="1:15" x14ac:dyDescent="0.3">
      <c r="A734" s="3" t="s">
        <v>759</v>
      </c>
      <c r="B734" s="3" t="s">
        <v>29</v>
      </c>
      <c r="C734" s="5">
        <v>45043</v>
      </c>
      <c r="D734" s="5">
        <v>45051</v>
      </c>
      <c r="E734" s="3" t="s">
        <v>24</v>
      </c>
      <c r="F734" s="3" t="s">
        <v>18</v>
      </c>
      <c r="G734" s="3">
        <v>1070</v>
      </c>
      <c r="H734" s="3">
        <v>44.4</v>
      </c>
      <c r="I734" s="3">
        <v>40.07</v>
      </c>
      <c r="J734" s="3">
        <v>26</v>
      </c>
      <c r="K734" s="3" t="s">
        <v>15</v>
      </c>
      <c r="L734" s="3">
        <f t="shared" si="44"/>
        <v>8</v>
      </c>
      <c r="M734" s="4">
        <f t="shared" si="45"/>
        <v>4.3299999999999983</v>
      </c>
      <c r="N734" s="6">
        <f t="shared" si="46"/>
        <v>9.7522522522522484E-2</v>
      </c>
      <c r="O734" s="4">
        <f t="shared" si="47"/>
        <v>4633.0999999999985</v>
      </c>
    </row>
    <row r="735" spans="1:15" x14ac:dyDescent="0.3">
      <c r="A735" s="3" t="s">
        <v>760</v>
      </c>
      <c r="B735" s="3" t="s">
        <v>23</v>
      </c>
      <c r="C735" s="5">
        <v>44581</v>
      </c>
      <c r="D735" s="5">
        <v>44595</v>
      </c>
      <c r="E735" s="3" t="s">
        <v>24</v>
      </c>
      <c r="F735" s="3" t="s">
        <v>35</v>
      </c>
      <c r="G735" s="3">
        <v>810</v>
      </c>
      <c r="H735" s="3">
        <v>71.02</v>
      </c>
      <c r="I735" s="3">
        <v>66.8</v>
      </c>
      <c r="J735" s="3">
        <v>73</v>
      </c>
      <c r="K735" s="3" t="s">
        <v>15</v>
      </c>
      <c r="L735" s="3">
        <f t="shared" si="44"/>
        <v>14</v>
      </c>
      <c r="M735" s="4">
        <f t="shared" si="45"/>
        <v>4.2199999999999989</v>
      </c>
      <c r="N735" s="6">
        <f t="shared" si="46"/>
        <v>5.9419881723458169E-2</v>
      </c>
      <c r="O735" s="4">
        <f t="shared" si="47"/>
        <v>3418.1999999999989</v>
      </c>
    </row>
    <row r="736" spans="1:15" x14ac:dyDescent="0.3">
      <c r="A736" s="3" t="s">
        <v>761</v>
      </c>
      <c r="B736" s="3" t="s">
        <v>17</v>
      </c>
      <c r="C736" s="5">
        <v>45114</v>
      </c>
      <c r="D736" s="5">
        <v>45130</v>
      </c>
      <c r="E736" s="3" t="s">
        <v>24</v>
      </c>
      <c r="F736" s="3" t="s">
        <v>14</v>
      </c>
      <c r="G736" s="3">
        <v>725</v>
      </c>
      <c r="H736" s="3">
        <v>66.400000000000006</v>
      </c>
      <c r="I736" s="3">
        <v>62.1</v>
      </c>
      <c r="J736" s="3">
        <v>118</v>
      </c>
      <c r="K736" s="3" t="s">
        <v>15</v>
      </c>
      <c r="L736" s="3">
        <f t="shared" si="44"/>
        <v>16</v>
      </c>
      <c r="M736" s="4">
        <f t="shared" si="45"/>
        <v>4.3000000000000043</v>
      </c>
      <c r="N736" s="6">
        <f t="shared" si="46"/>
        <v>6.4759036144578369E-2</v>
      </c>
      <c r="O736" s="4">
        <f t="shared" si="47"/>
        <v>3117.5000000000032</v>
      </c>
    </row>
    <row r="737" spans="1:15" x14ac:dyDescent="0.3">
      <c r="A737" s="3" t="s">
        <v>762</v>
      </c>
      <c r="B737" s="3" t="s">
        <v>12</v>
      </c>
      <c r="C737" s="5">
        <v>44615</v>
      </c>
      <c r="D737" s="5">
        <v>44620</v>
      </c>
      <c r="E737" s="3" t="s">
        <v>39</v>
      </c>
      <c r="F737" s="3" t="s">
        <v>18</v>
      </c>
      <c r="G737" s="3">
        <v>1467</v>
      </c>
      <c r="H737" s="3">
        <v>34.200000000000003</v>
      </c>
      <c r="I737" s="3">
        <v>30.5</v>
      </c>
      <c r="J737" s="3">
        <v>25</v>
      </c>
      <c r="K737" s="3" t="s">
        <v>15</v>
      </c>
      <c r="L737" s="3">
        <f t="shared" si="44"/>
        <v>5</v>
      </c>
      <c r="M737" s="4">
        <f t="shared" si="45"/>
        <v>3.7000000000000028</v>
      </c>
      <c r="N737" s="6">
        <f t="shared" si="46"/>
        <v>0.10818713450292405</v>
      </c>
      <c r="O737" s="4">
        <f t="shared" si="47"/>
        <v>5427.9000000000042</v>
      </c>
    </row>
    <row r="738" spans="1:15" x14ac:dyDescent="0.3">
      <c r="A738" s="3" t="s">
        <v>763</v>
      </c>
      <c r="B738" s="3" t="s">
        <v>23</v>
      </c>
      <c r="C738" s="5">
        <v>44920</v>
      </c>
      <c r="D738" s="5">
        <v>44938</v>
      </c>
      <c r="E738" s="3" t="s">
        <v>24</v>
      </c>
      <c r="F738" s="3" t="s">
        <v>18</v>
      </c>
      <c r="G738" s="3">
        <v>1942</v>
      </c>
      <c r="H738" s="3">
        <v>93.98</v>
      </c>
      <c r="I738" s="3">
        <v>81.31</v>
      </c>
      <c r="J738" s="3">
        <v>198</v>
      </c>
      <c r="K738" s="3" t="s">
        <v>15</v>
      </c>
      <c r="L738" s="3">
        <f t="shared" si="44"/>
        <v>18</v>
      </c>
      <c r="M738" s="4">
        <f t="shared" si="45"/>
        <v>12.670000000000002</v>
      </c>
      <c r="N738" s="6">
        <f t="shared" si="46"/>
        <v>0.13481591828048523</v>
      </c>
      <c r="O738" s="4">
        <f t="shared" si="47"/>
        <v>24605.140000000003</v>
      </c>
    </row>
    <row r="739" spans="1:15" x14ac:dyDescent="0.3">
      <c r="A739" s="3" t="s">
        <v>764</v>
      </c>
      <c r="B739" s="3" t="s">
        <v>20</v>
      </c>
      <c r="C739" s="5">
        <v>44791</v>
      </c>
      <c r="D739" s="3"/>
      <c r="E739" s="3" t="s">
        <v>13</v>
      </c>
      <c r="F739" s="3" t="s">
        <v>18</v>
      </c>
      <c r="G739" s="3">
        <v>506</v>
      </c>
      <c r="H739" s="3">
        <v>84.63</v>
      </c>
      <c r="I739" s="3">
        <v>72.69</v>
      </c>
      <c r="J739" s="3">
        <v>20</v>
      </c>
      <c r="K739" s="3" t="s">
        <v>15</v>
      </c>
      <c r="L739" s="3" t="str">
        <f t="shared" si="44"/>
        <v/>
      </c>
      <c r="M739" s="4">
        <f t="shared" si="45"/>
        <v>11.939999999999998</v>
      </c>
      <c r="N739" s="6">
        <f t="shared" si="46"/>
        <v>0.14108472172988301</v>
      </c>
      <c r="O739" s="4">
        <f t="shared" si="47"/>
        <v>6041.6399999999985</v>
      </c>
    </row>
    <row r="740" spans="1:15" x14ac:dyDescent="0.3">
      <c r="A740" s="3" t="s">
        <v>765</v>
      </c>
      <c r="B740" s="3" t="s">
        <v>12</v>
      </c>
      <c r="C740" s="5">
        <v>45227</v>
      </c>
      <c r="D740" s="5">
        <v>45243</v>
      </c>
      <c r="E740" s="3" t="s">
        <v>21</v>
      </c>
      <c r="F740" s="3" t="s">
        <v>18</v>
      </c>
      <c r="G740" s="3">
        <v>969</v>
      </c>
      <c r="H740" s="3">
        <v>76.53</v>
      </c>
      <c r="I740" s="3">
        <v>75.64</v>
      </c>
      <c r="J740" s="3">
        <v>30</v>
      </c>
      <c r="K740" s="3" t="s">
        <v>15</v>
      </c>
      <c r="L740" s="3">
        <f t="shared" si="44"/>
        <v>16</v>
      </c>
      <c r="M740" s="4">
        <f t="shared" si="45"/>
        <v>0.89000000000000057</v>
      </c>
      <c r="N740" s="6">
        <f t="shared" si="46"/>
        <v>1.162942636874429E-2</v>
      </c>
      <c r="O740" s="4">
        <f t="shared" si="47"/>
        <v>862.41000000000054</v>
      </c>
    </row>
    <row r="741" spans="1:15" x14ac:dyDescent="0.3">
      <c r="A741" s="3" t="s">
        <v>766</v>
      </c>
      <c r="B741" s="3" t="s">
        <v>17</v>
      </c>
      <c r="C741" s="5">
        <v>44632</v>
      </c>
      <c r="D741" s="5">
        <v>44639</v>
      </c>
      <c r="E741" s="3" t="s">
        <v>21</v>
      </c>
      <c r="F741" s="3" t="s">
        <v>18</v>
      </c>
      <c r="G741" s="3">
        <v>241</v>
      </c>
      <c r="H741" s="3">
        <v>87.42</v>
      </c>
      <c r="I741" s="3">
        <v>82.15</v>
      </c>
      <c r="J741" s="3"/>
      <c r="K741" s="3" t="s">
        <v>15</v>
      </c>
      <c r="L741" s="3">
        <f t="shared" si="44"/>
        <v>7</v>
      </c>
      <c r="M741" s="4">
        <f t="shared" si="45"/>
        <v>5.269999999999996</v>
      </c>
      <c r="N741" s="6">
        <f t="shared" si="46"/>
        <v>6.0283687943262367E-2</v>
      </c>
      <c r="O741" s="4">
        <f t="shared" si="47"/>
        <v>1270.069999999999</v>
      </c>
    </row>
    <row r="742" spans="1:15" x14ac:dyDescent="0.3">
      <c r="A742" s="3" t="s">
        <v>767</v>
      </c>
      <c r="B742" s="3" t="s">
        <v>20</v>
      </c>
      <c r="C742" s="5">
        <v>45229</v>
      </c>
      <c r="D742" s="5">
        <v>45239</v>
      </c>
      <c r="E742" s="3" t="s">
        <v>26</v>
      </c>
      <c r="F742" s="3" t="s">
        <v>18</v>
      </c>
      <c r="G742" s="3">
        <v>788</v>
      </c>
      <c r="H742" s="3">
        <v>97.3</v>
      </c>
      <c r="I742" s="3">
        <v>94.44</v>
      </c>
      <c r="J742" s="3">
        <v>32</v>
      </c>
      <c r="K742" s="3" t="s">
        <v>15</v>
      </c>
      <c r="L742" s="3">
        <f t="shared" si="44"/>
        <v>10</v>
      </c>
      <c r="M742" s="4">
        <f t="shared" si="45"/>
        <v>2.8599999999999994</v>
      </c>
      <c r="N742" s="6">
        <f t="shared" si="46"/>
        <v>2.9393627954779029E-2</v>
      </c>
      <c r="O742" s="4">
        <f t="shared" si="47"/>
        <v>2253.6799999999994</v>
      </c>
    </row>
    <row r="743" spans="1:15" x14ac:dyDescent="0.3">
      <c r="A743" s="3" t="s">
        <v>768</v>
      </c>
      <c r="B743" s="3" t="s">
        <v>20</v>
      </c>
      <c r="C743" s="5">
        <v>44603</v>
      </c>
      <c r="D743" s="5">
        <v>44605</v>
      </c>
      <c r="E743" s="3" t="s">
        <v>13</v>
      </c>
      <c r="F743" s="3" t="s">
        <v>18</v>
      </c>
      <c r="G743" s="3">
        <v>1762</v>
      </c>
      <c r="H743" s="3">
        <v>74.12</v>
      </c>
      <c r="I743" s="3">
        <v>65.709999999999994</v>
      </c>
      <c r="J743" s="3">
        <v>94</v>
      </c>
      <c r="K743" s="3" t="s">
        <v>15</v>
      </c>
      <c r="L743" s="3">
        <f t="shared" si="44"/>
        <v>2</v>
      </c>
      <c r="M743" s="4">
        <f t="shared" si="45"/>
        <v>8.4100000000000108</v>
      </c>
      <c r="N743" s="6">
        <f t="shared" si="46"/>
        <v>0.11346465191581233</v>
      </c>
      <c r="O743" s="4">
        <f t="shared" si="47"/>
        <v>14818.420000000018</v>
      </c>
    </row>
    <row r="744" spans="1:15" x14ac:dyDescent="0.3">
      <c r="A744" s="3" t="s">
        <v>769</v>
      </c>
      <c r="B744" s="3" t="s">
        <v>12</v>
      </c>
      <c r="C744" s="5">
        <v>44593</v>
      </c>
      <c r="D744" s="3"/>
      <c r="E744" s="3" t="s">
        <v>26</v>
      </c>
      <c r="F744" s="3" t="s">
        <v>35</v>
      </c>
      <c r="G744" s="3">
        <v>1172</v>
      </c>
      <c r="H744" s="3">
        <v>85.76</v>
      </c>
      <c r="I744" s="3">
        <v>81.430000000000007</v>
      </c>
      <c r="J744" s="3">
        <v>25</v>
      </c>
      <c r="K744" s="3" t="s">
        <v>15</v>
      </c>
      <c r="L744" s="3" t="str">
        <f t="shared" si="44"/>
        <v/>
      </c>
      <c r="M744" s="4">
        <f t="shared" si="45"/>
        <v>4.3299999999999983</v>
      </c>
      <c r="N744" s="6">
        <f t="shared" si="46"/>
        <v>5.0489738805970123E-2</v>
      </c>
      <c r="O744" s="4">
        <f t="shared" si="47"/>
        <v>5074.7599999999984</v>
      </c>
    </row>
    <row r="745" spans="1:15" x14ac:dyDescent="0.3">
      <c r="A745" s="3" t="s">
        <v>770</v>
      </c>
      <c r="B745" s="3" t="s">
        <v>17</v>
      </c>
      <c r="C745" s="5">
        <v>44815</v>
      </c>
      <c r="D745" s="5">
        <v>44834</v>
      </c>
      <c r="E745" s="3" t="s">
        <v>13</v>
      </c>
      <c r="F745" s="3" t="s">
        <v>18</v>
      </c>
      <c r="G745" s="3">
        <v>1621</v>
      </c>
      <c r="H745" s="3">
        <v>75.680000000000007</v>
      </c>
      <c r="I745" s="3">
        <v>73.78</v>
      </c>
      <c r="J745" s="3">
        <v>226</v>
      </c>
      <c r="K745" s="3" t="s">
        <v>27</v>
      </c>
      <c r="L745" s="3">
        <f t="shared" si="44"/>
        <v>19</v>
      </c>
      <c r="M745" s="4">
        <f t="shared" si="45"/>
        <v>1.9000000000000057</v>
      </c>
      <c r="N745" s="6">
        <f t="shared" si="46"/>
        <v>2.5105708245243202E-2</v>
      </c>
      <c r="O745" s="4">
        <f t="shared" si="47"/>
        <v>3079.9000000000092</v>
      </c>
    </row>
    <row r="746" spans="1:15" x14ac:dyDescent="0.3">
      <c r="A746" s="3" t="s">
        <v>771</v>
      </c>
      <c r="B746" s="3" t="s">
        <v>12</v>
      </c>
      <c r="C746" s="5">
        <v>44766</v>
      </c>
      <c r="D746" s="5">
        <v>44768</v>
      </c>
      <c r="E746" s="3" t="s">
        <v>24</v>
      </c>
      <c r="F746" s="3" t="s">
        <v>18</v>
      </c>
      <c r="G746" s="3">
        <v>1027</v>
      </c>
      <c r="H746" s="3">
        <v>73.349999999999994</v>
      </c>
      <c r="I746" s="3">
        <v>65.42</v>
      </c>
      <c r="J746" s="3">
        <v>24</v>
      </c>
      <c r="K746" s="3" t="s">
        <v>27</v>
      </c>
      <c r="L746" s="3">
        <f t="shared" si="44"/>
        <v>2</v>
      </c>
      <c r="M746" s="4">
        <f t="shared" si="45"/>
        <v>7.9299999999999926</v>
      </c>
      <c r="N746" s="6">
        <f t="shared" si="46"/>
        <v>0.10811179277436937</v>
      </c>
      <c r="O746" s="4">
        <f t="shared" si="47"/>
        <v>8144.1099999999924</v>
      </c>
    </row>
    <row r="747" spans="1:15" x14ac:dyDescent="0.3">
      <c r="A747" s="3" t="s">
        <v>772</v>
      </c>
      <c r="B747" s="3" t="s">
        <v>23</v>
      </c>
      <c r="C747" s="5">
        <v>44582</v>
      </c>
      <c r="D747" s="3"/>
      <c r="E747" s="3" t="s">
        <v>26</v>
      </c>
      <c r="F747" s="3" t="s">
        <v>18</v>
      </c>
      <c r="G747" s="3">
        <v>1058</v>
      </c>
      <c r="H747" s="3">
        <v>65.680000000000007</v>
      </c>
      <c r="I747" s="3">
        <v>57.21</v>
      </c>
      <c r="J747" s="3">
        <v>101</v>
      </c>
      <c r="K747" s="3" t="s">
        <v>15</v>
      </c>
      <c r="L747" s="3" t="str">
        <f t="shared" si="44"/>
        <v/>
      </c>
      <c r="M747" s="4">
        <f t="shared" si="45"/>
        <v>8.470000000000006</v>
      </c>
      <c r="N747" s="6">
        <f t="shared" si="46"/>
        <v>0.12895858708891603</v>
      </c>
      <c r="O747" s="4">
        <f t="shared" si="47"/>
        <v>8961.2600000000057</v>
      </c>
    </row>
    <row r="748" spans="1:15" x14ac:dyDescent="0.3">
      <c r="A748" s="3" t="s">
        <v>773</v>
      </c>
      <c r="B748" s="3" t="s">
        <v>23</v>
      </c>
      <c r="C748" s="5">
        <v>45198</v>
      </c>
      <c r="D748" s="5">
        <v>45204</v>
      </c>
      <c r="E748" s="3" t="s">
        <v>24</v>
      </c>
      <c r="F748" s="3" t="s">
        <v>18</v>
      </c>
      <c r="G748" s="3">
        <v>145</v>
      </c>
      <c r="H748" s="3">
        <v>85.52</v>
      </c>
      <c r="I748" s="3">
        <v>81.86</v>
      </c>
      <c r="J748" s="3">
        <v>11</v>
      </c>
      <c r="K748" s="3" t="s">
        <v>27</v>
      </c>
      <c r="L748" s="3">
        <f t="shared" si="44"/>
        <v>6</v>
      </c>
      <c r="M748" s="4">
        <f t="shared" si="45"/>
        <v>3.6599999999999966</v>
      </c>
      <c r="N748" s="6">
        <f t="shared" si="46"/>
        <v>4.279700654817583E-2</v>
      </c>
      <c r="O748" s="4">
        <f t="shared" si="47"/>
        <v>530.69999999999948</v>
      </c>
    </row>
    <row r="749" spans="1:15" x14ac:dyDescent="0.3">
      <c r="A749" s="3" t="s">
        <v>774</v>
      </c>
      <c r="B749" s="3" t="s">
        <v>29</v>
      </c>
      <c r="C749" s="5">
        <v>44718</v>
      </c>
      <c r="D749" s="3"/>
      <c r="E749" s="3" t="s">
        <v>13</v>
      </c>
      <c r="F749" s="3" t="s">
        <v>18</v>
      </c>
      <c r="G749" s="3">
        <v>1737</v>
      </c>
      <c r="H749" s="3">
        <v>24.88</v>
      </c>
      <c r="I749" s="3">
        <v>24.28</v>
      </c>
      <c r="J749" s="3">
        <v>46</v>
      </c>
      <c r="K749" s="3" t="s">
        <v>15</v>
      </c>
      <c r="L749" s="3" t="str">
        <f t="shared" si="44"/>
        <v/>
      </c>
      <c r="M749" s="4">
        <f t="shared" si="45"/>
        <v>0.59999999999999787</v>
      </c>
      <c r="N749" s="6">
        <f t="shared" si="46"/>
        <v>2.4115755627009561E-2</v>
      </c>
      <c r="O749" s="4">
        <f t="shared" si="47"/>
        <v>1042.1999999999964</v>
      </c>
    </row>
    <row r="750" spans="1:15" x14ac:dyDescent="0.3">
      <c r="A750" s="3" t="s">
        <v>775</v>
      </c>
      <c r="B750" s="3" t="s">
        <v>20</v>
      </c>
      <c r="C750" s="5">
        <v>44806</v>
      </c>
      <c r="D750" s="5">
        <v>44819</v>
      </c>
      <c r="E750" s="3" t="s">
        <v>39</v>
      </c>
      <c r="F750" s="3" t="s">
        <v>18</v>
      </c>
      <c r="G750" s="3">
        <v>712</v>
      </c>
      <c r="H750" s="3">
        <v>92.85</v>
      </c>
      <c r="I750" s="3">
        <v>89.39</v>
      </c>
      <c r="J750" s="3">
        <v>43</v>
      </c>
      <c r="K750" s="3" t="s">
        <v>15</v>
      </c>
      <c r="L750" s="3">
        <f t="shared" si="44"/>
        <v>13</v>
      </c>
      <c r="M750" s="4">
        <f t="shared" si="45"/>
        <v>3.4599999999999937</v>
      </c>
      <c r="N750" s="6">
        <f t="shared" si="46"/>
        <v>3.7264404954227184E-2</v>
      </c>
      <c r="O750" s="4">
        <f t="shared" si="47"/>
        <v>2463.5199999999954</v>
      </c>
    </row>
    <row r="751" spans="1:15" x14ac:dyDescent="0.3">
      <c r="A751" s="3" t="s">
        <v>776</v>
      </c>
      <c r="B751" s="3" t="s">
        <v>29</v>
      </c>
      <c r="C751" s="5">
        <v>44691</v>
      </c>
      <c r="D751" s="5">
        <v>44697</v>
      </c>
      <c r="E751" s="3" t="s">
        <v>39</v>
      </c>
      <c r="F751" s="3" t="s">
        <v>18</v>
      </c>
      <c r="G751" s="3">
        <v>1263</v>
      </c>
      <c r="H751" s="3">
        <v>90.24</v>
      </c>
      <c r="I751" s="3">
        <v>86.84</v>
      </c>
      <c r="J751" s="3">
        <v>28</v>
      </c>
      <c r="K751" s="3" t="s">
        <v>15</v>
      </c>
      <c r="L751" s="3">
        <f t="shared" si="44"/>
        <v>6</v>
      </c>
      <c r="M751" s="4">
        <f t="shared" si="45"/>
        <v>3.3999999999999915</v>
      </c>
      <c r="N751" s="6">
        <f t="shared" si="46"/>
        <v>3.7677304964538916E-2</v>
      </c>
      <c r="O751" s="4">
        <f t="shared" si="47"/>
        <v>4294.1999999999889</v>
      </c>
    </row>
    <row r="752" spans="1:15" x14ac:dyDescent="0.3">
      <c r="A752" s="3" t="s">
        <v>777</v>
      </c>
      <c r="B752" s="3" t="s">
        <v>17</v>
      </c>
      <c r="C752" s="5">
        <v>45046</v>
      </c>
      <c r="D752" s="3"/>
      <c r="E752" s="3" t="s">
        <v>39</v>
      </c>
      <c r="F752" s="3" t="s">
        <v>18</v>
      </c>
      <c r="G752" s="3">
        <v>1809</v>
      </c>
      <c r="H752" s="3">
        <v>13.58</v>
      </c>
      <c r="I752" s="3">
        <v>12.68</v>
      </c>
      <c r="J752" s="3"/>
      <c r="K752" s="3" t="s">
        <v>27</v>
      </c>
      <c r="L752" s="3" t="str">
        <f t="shared" si="44"/>
        <v/>
      </c>
      <c r="M752" s="4">
        <f t="shared" si="45"/>
        <v>0.90000000000000036</v>
      </c>
      <c r="N752" s="6">
        <f t="shared" si="46"/>
        <v>6.6273932253313725E-2</v>
      </c>
      <c r="O752" s="4">
        <f t="shared" si="47"/>
        <v>1628.1000000000006</v>
      </c>
    </row>
    <row r="753" spans="1:15" x14ac:dyDescent="0.3">
      <c r="A753" s="3" t="s">
        <v>778</v>
      </c>
      <c r="B753" s="3" t="s">
        <v>23</v>
      </c>
      <c r="C753" s="5">
        <v>45247</v>
      </c>
      <c r="D753" s="3"/>
      <c r="E753" s="3" t="s">
        <v>39</v>
      </c>
      <c r="F753" s="3" t="s">
        <v>14</v>
      </c>
      <c r="G753" s="3">
        <v>86</v>
      </c>
      <c r="H753" s="3">
        <v>93.6</v>
      </c>
      <c r="I753" s="3">
        <v>88.22</v>
      </c>
      <c r="J753" s="3">
        <v>5</v>
      </c>
      <c r="K753" s="3" t="s">
        <v>15</v>
      </c>
      <c r="L753" s="3" t="str">
        <f t="shared" si="44"/>
        <v/>
      </c>
      <c r="M753" s="4">
        <f t="shared" si="45"/>
        <v>5.3799999999999955</v>
      </c>
      <c r="N753" s="6">
        <f t="shared" si="46"/>
        <v>5.7478632478632434E-2</v>
      </c>
      <c r="O753" s="4">
        <f t="shared" si="47"/>
        <v>462.67999999999961</v>
      </c>
    </row>
    <row r="754" spans="1:15" x14ac:dyDescent="0.3">
      <c r="A754" s="3" t="s">
        <v>779</v>
      </c>
      <c r="B754" s="3" t="s">
        <v>29</v>
      </c>
      <c r="C754" s="5">
        <v>44679</v>
      </c>
      <c r="D754" s="3"/>
      <c r="E754" s="3" t="s">
        <v>21</v>
      </c>
      <c r="F754" s="3" t="s">
        <v>18</v>
      </c>
      <c r="G754" s="3">
        <v>1853</v>
      </c>
      <c r="H754" s="3">
        <v>21.92</v>
      </c>
      <c r="I754" s="3">
        <v>20.72</v>
      </c>
      <c r="J754" s="3"/>
      <c r="K754" s="3" t="s">
        <v>15</v>
      </c>
      <c r="L754" s="3" t="str">
        <f t="shared" si="44"/>
        <v/>
      </c>
      <c r="M754" s="4">
        <f t="shared" si="45"/>
        <v>1.2000000000000028</v>
      </c>
      <c r="N754" s="6">
        <f t="shared" si="46"/>
        <v>5.4744525547445383E-2</v>
      </c>
      <c r="O754" s="4">
        <f t="shared" si="47"/>
        <v>2223.6000000000054</v>
      </c>
    </row>
    <row r="755" spans="1:15" x14ac:dyDescent="0.3">
      <c r="A755" s="3" t="s">
        <v>780</v>
      </c>
      <c r="B755" s="3" t="s">
        <v>23</v>
      </c>
      <c r="C755" s="5">
        <v>45139</v>
      </c>
      <c r="D755" s="5">
        <v>45140</v>
      </c>
      <c r="E755" s="3" t="s">
        <v>39</v>
      </c>
      <c r="F755" s="3" t="s">
        <v>18</v>
      </c>
      <c r="G755" s="3">
        <v>1442</v>
      </c>
      <c r="H755" s="3">
        <v>43.98</v>
      </c>
      <c r="I755" s="3">
        <v>41.82</v>
      </c>
      <c r="J755" s="3">
        <v>140</v>
      </c>
      <c r="K755" s="3" t="s">
        <v>27</v>
      </c>
      <c r="L755" s="3">
        <f t="shared" si="44"/>
        <v>1</v>
      </c>
      <c r="M755" s="4">
        <f t="shared" si="45"/>
        <v>2.1599999999999966</v>
      </c>
      <c r="N755" s="6">
        <f t="shared" si="46"/>
        <v>4.9113233287858042E-2</v>
      </c>
      <c r="O755" s="4">
        <f t="shared" si="47"/>
        <v>3114.7199999999953</v>
      </c>
    </row>
    <row r="756" spans="1:15" x14ac:dyDescent="0.3">
      <c r="A756" s="3" t="s">
        <v>781</v>
      </c>
      <c r="B756" s="3" t="s">
        <v>23</v>
      </c>
      <c r="C756" s="5">
        <v>44785</v>
      </c>
      <c r="D756" s="5">
        <v>44805</v>
      </c>
      <c r="E756" s="3" t="s">
        <v>13</v>
      </c>
      <c r="F756" s="3" t="s">
        <v>35</v>
      </c>
      <c r="G756" s="3">
        <v>1768</v>
      </c>
      <c r="H756" s="3">
        <v>79.61</v>
      </c>
      <c r="I756" s="3">
        <v>74.97</v>
      </c>
      <c r="J756" s="3">
        <v>207</v>
      </c>
      <c r="K756" s="3" t="s">
        <v>27</v>
      </c>
      <c r="L756" s="3">
        <f t="shared" si="44"/>
        <v>20</v>
      </c>
      <c r="M756" s="4">
        <f t="shared" si="45"/>
        <v>4.6400000000000006</v>
      </c>
      <c r="N756" s="6">
        <f t="shared" si="46"/>
        <v>5.8284135158899644E-2</v>
      </c>
      <c r="O756" s="4">
        <f t="shared" si="47"/>
        <v>8203.52</v>
      </c>
    </row>
    <row r="757" spans="1:15" x14ac:dyDescent="0.3">
      <c r="A757" s="3" t="s">
        <v>782</v>
      </c>
      <c r="B757" s="3" t="s">
        <v>23</v>
      </c>
      <c r="C757" s="5">
        <v>45038</v>
      </c>
      <c r="D757" s="5">
        <v>45049</v>
      </c>
      <c r="E757" s="3" t="s">
        <v>39</v>
      </c>
      <c r="F757" s="3" t="s">
        <v>33</v>
      </c>
      <c r="G757" s="3">
        <v>1598</v>
      </c>
      <c r="H757" s="3">
        <v>26.3</v>
      </c>
      <c r="I757" s="3">
        <v>26.03</v>
      </c>
      <c r="J757" s="3">
        <v>154</v>
      </c>
      <c r="K757" s="3" t="s">
        <v>27</v>
      </c>
      <c r="L757" s="3">
        <f t="shared" si="44"/>
        <v>11</v>
      </c>
      <c r="M757" s="4">
        <f t="shared" si="45"/>
        <v>0.26999999999999957</v>
      </c>
      <c r="N757" s="6">
        <f t="shared" si="46"/>
        <v>1.0266159695817473E-2</v>
      </c>
      <c r="O757" s="4">
        <f t="shared" si="47"/>
        <v>431.4599999999993</v>
      </c>
    </row>
    <row r="758" spans="1:15" x14ac:dyDescent="0.3">
      <c r="A758" s="3" t="s">
        <v>783</v>
      </c>
      <c r="B758" s="3" t="s">
        <v>12</v>
      </c>
      <c r="C758" s="5">
        <v>45278</v>
      </c>
      <c r="D758" s="5">
        <v>45296</v>
      </c>
      <c r="E758" s="3" t="s">
        <v>21</v>
      </c>
      <c r="F758" s="3" t="s">
        <v>14</v>
      </c>
      <c r="G758" s="3">
        <v>328</v>
      </c>
      <c r="H758" s="3">
        <v>93.23</v>
      </c>
      <c r="I758" s="3">
        <v>82.63</v>
      </c>
      <c r="J758" s="3">
        <v>6</v>
      </c>
      <c r="K758" s="3" t="s">
        <v>15</v>
      </c>
      <c r="L758" s="3">
        <f t="shared" si="44"/>
        <v>18</v>
      </c>
      <c r="M758" s="4">
        <f t="shared" si="45"/>
        <v>10.600000000000009</v>
      </c>
      <c r="N758" s="6">
        <f t="shared" si="46"/>
        <v>0.11369730773356225</v>
      </c>
      <c r="O758" s="4">
        <f t="shared" si="47"/>
        <v>3476.8000000000029</v>
      </c>
    </row>
    <row r="759" spans="1:15" x14ac:dyDescent="0.3">
      <c r="A759" s="3" t="s">
        <v>784</v>
      </c>
      <c r="B759" s="3" t="s">
        <v>29</v>
      </c>
      <c r="C759" s="5">
        <v>44824</v>
      </c>
      <c r="D759" s="5">
        <v>44829</v>
      </c>
      <c r="E759" s="3" t="s">
        <v>24</v>
      </c>
      <c r="F759" s="3" t="s">
        <v>18</v>
      </c>
      <c r="G759" s="3">
        <v>266</v>
      </c>
      <c r="H759" s="3">
        <v>88.29</v>
      </c>
      <c r="I759" s="3">
        <v>80.22</v>
      </c>
      <c r="J759" s="3">
        <v>4</v>
      </c>
      <c r="K759" s="3" t="s">
        <v>15</v>
      </c>
      <c r="L759" s="3">
        <f t="shared" si="44"/>
        <v>5</v>
      </c>
      <c r="M759" s="4">
        <f t="shared" si="45"/>
        <v>8.0700000000000074</v>
      </c>
      <c r="N759" s="6">
        <f t="shared" si="46"/>
        <v>9.1403329935440106E-2</v>
      </c>
      <c r="O759" s="4">
        <f t="shared" si="47"/>
        <v>2146.6200000000022</v>
      </c>
    </row>
    <row r="760" spans="1:15" x14ac:dyDescent="0.3">
      <c r="A760" s="3" t="s">
        <v>785</v>
      </c>
      <c r="B760" s="3" t="s">
        <v>20</v>
      </c>
      <c r="C760" s="5">
        <v>44939</v>
      </c>
      <c r="D760" s="5">
        <v>44954</v>
      </c>
      <c r="E760" s="3" t="s">
        <v>26</v>
      </c>
      <c r="F760" s="3" t="s">
        <v>18</v>
      </c>
      <c r="G760" s="3">
        <v>916</v>
      </c>
      <c r="H760" s="3">
        <v>59.01</v>
      </c>
      <c r="I760" s="3">
        <v>53.37</v>
      </c>
      <c r="J760" s="3">
        <v>47</v>
      </c>
      <c r="K760" s="3" t="s">
        <v>15</v>
      </c>
      <c r="L760" s="3">
        <f t="shared" si="44"/>
        <v>15</v>
      </c>
      <c r="M760" s="4">
        <f t="shared" si="45"/>
        <v>5.6400000000000006</v>
      </c>
      <c r="N760" s="6">
        <f t="shared" si="46"/>
        <v>9.5577020843924776E-2</v>
      </c>
      <c r="O760" s="4">
        <f t="shared" si="47"/>
        <v>5166.2400000000007</v>
      </c>
    </row>
    <row r="761" spans="1:15" x14ac:dyDescent="0.3">
      <c r="A761" s="3" t="s">
        <v>786</v>
      </c>
      <c r="B761" s="3" t="s">
        <v>29</v>
      </c>
      <c r="C761" s="5">
        <v>44733</v>
      </c>
      <c r="D761" s="5">
        <v>44737</v>
      </c>
      <c r="E761" s="3" t="s">
        <v>24</v>
      </c>
      <c r="F761" s="3" t="s">
        <v>14</v>
      </c>
      <c r="G761" s="3">
        <v>922</v>
      </c>
      <c r="H761" s="3">
        <v>10.84</v>
      </c>
      <c r="I761" s="3">
        <v>9.27</v>
      </c>
      <c r="J761" s="3">
        <v>29</v>
      </c>
      <c r="K761" s="3" t="s">
        <v>15</v>
      </c>
      <c r="L761" s="3">
        <f t="shared" si="44"/>
        <v>4</v>
      </c>
      <c r="M761" s="4">
        <f t="shared" si="45"/>
        <v>1.5700000000000003</v>
      </c>
      <c r="N761" s="6">
        <f t="shared" si="46"/>
        <v>0.14483394833948343</v>
      </c>
      <c r="O761" s="4">
        <f t="shared" si="47"/>
        <v>1447.5400000000002</v>
      </c>
    </row>
    <row r="762" spans="1:15" x14ac:dyDescent="0.3">
      <c r="A762" s="3" t="s">
        <v>787</v>
      </c>
      <c r="B762" s="3" t="s">
        <v>20</v>
      </c>
      <c r="C762" s="5">
        <v>45182</v>
      </c>
      <c r="D762" s="5">
        <v>45197</v>
      </c>
      <c r="E762" s="3" t="s">
        <v>24</v>
      </c>
      <c r="F762" s="3" t="s">
        <v>18</v>
      </c>
      <c r="G762" s="3">
        <v>1871</v>
      </c>
      <c r="H762" s="3">
        <v>39.42</v>
      </c>
      <c r="I762" s="3">
        <v>37.409999999999997</v>
      </c>
      <c r="J762" s="3">
        <v>101</v>
      </c>
      <c r="K762" s="3" t="s">
        <v>27</v>
      </c>
      <c r="L762" s="3">
        <f t="shared" si="44"/>
        <v>15</v>
      </c>
      <c r="M762" s="4">
        <f t="shared" si="45"/>
        <v>2.0100000000000051</v>
      </c>
      <c r="N762" s="6">
        <f t="shared" si="46"/>
        <v>5.0989345509893584E-2</v>
      </c>
      <c r="O762" s="4">
        <f t="shared" si="47"/>
        <v>3760.7100000000096</v>
      </c>
    </row>
    <row r="763" spans="1:15" x14ac:dyDescent="0.3">
      <c r="A763" s="3" t="s">
        <v>788</v>
      </c>
      <c r="B763" s="3" t="s">
        <v>29</v>
      </c>
      <c r="C763" s="5">
        <v>45183</v>
      </c>
      <c r="D763" s="5">
        <v>45189</v>
      </c>
      <c r="E763" s="3" t="s">
        <v>26</v>
      </c>
      <c r="F763" s="3" t="s">
        <v>18</v>
      </c>
      <c r="G763" s="3">
        <v>1346</v>
      </c>
      <c r="H763" s="3">
        <v>72.08</v>
      </c>
      <c r="I763" s="3">
        <v>67.040000000000006</v>
      </c>
      <c r="J763" s="3">
        <v>38</v>
      </c>
      <c r="K763" s="3" t="s">
        <v>15</v>
      </c>
      <c r="L763" s="3">
        <f t="shared" si="44"/>
        <v>6</v>
      </c>
      <c r="M763" s="4">
        <f t="shared" si="45"/>
        <v>5.039999999999992</v>
      </c>
      <c r="N763" s="6">
        <f t="shared" si="46"/>
        <v>6.9922308546059825E-2</v>
      </c>
      <c r="O763" s="4">
        <f t="shared" si="47"/>
        <v>6783.8399999999892</v>
      </c>
    </row>
    <row r="764" spans="1:15" x14ac:dyDescent="0.3">
      <c r="A764" s="3" t="s">
        <v>789</v>
      </c>
      <c r="B764" s="3" t="s">
        <v>29</v>
      </c>
      <c r="C764" s="5">
        <v>44679</v>
      </c>
      <c r="D764" s="5">
        <v>44690</v>
      </c>
      <c r="E764" s="3" t="s">
        <v>39</v>
      </c>
      <c r="F764" s="3" t="s">
        <v>18</v>
      </c>
      <c r="G764" s="3">
        <v>1954</v>
      </c>
      <c r="H764" s="3">
        <v>99.78</v>
      </c>
      <c r="I764" s="3">
        <v>87.47</v>
      </c>
      <c r="J764" s="3">
        <v>57</v>
      </c>
      <c r="K764" s="3" t="s">
        <v>15</v>
      </c>
      <c r="L764" s="3">
        <f t="shared" si="44"/>
        <v>11</v>
      </c>
      <c r="M764" s="4">
        <f t="shared" si="45"/>
        <v>12.310000000000002</v>
      </c>
      <c r="N764" s="6">
        <f t="shared" si="46"/>
        <v>0.12337141711765887</v>
      </c>
      <c r="O764" s="4">
        <f t="shared" si="47"/>
        <v>24053.740000000005</v>
      </c>
    </row>
    <row r="765" spans="1:15" x14ac:dyDescent="0.3">
      <c r="A765" s="3" t="s">
        <v>790</v>
      </c>
      <c r="B765" s="3" t="s">
        <v>23</v>
      </c>
      <c r="C765" s="5">
        <v>44729</v>
      </c>
      <c r="D765" s="5">
        <v>44748</v>
      </c>
      <c r="E765" s="3" t="s">
        <v>39</v>
      </c>
      <c r="F765" s="3" t="s">
        <v>18</v>
      </c>
      <c r="G765" s="3">
        <v>111</v>
      </c>
      <c r="H765" s="3">
        <v>68.53</v>
      </c>
      <c r="I765" s="3">
        <v>65.22</v>
      </c>
      <c r="J765" s="3">
        <v>11</v>
      </c>
      <c r="K765" s="3" t="s">
        <v>15</v>
      </c>
      <c r="L765" s="3">
        <f t="shared" si="44"/>
        <v>19</v>
      </c>
      <c r="M765" s="4">
        <f t="shared" si="45"/>
        <v>3.3100000000000023</v>
      </c>
      <c r="N765" s="6">
        <f t="shared" si="46"/>
        <v>4.8300014592149457E-2</v>
      </c>
      <c r="O765" s="4">
        <f t="shared" si="47"/>
        <v>367.41000000000025</v>
      </c>
    </row>
    <row r="766" spans="1:15" x14ac:dyDescent="0.3">
      <c r="A766" s="3" t="s">
        <v>791</v>
      </c>
      <c r="B766" s="3" t="s">
        <v>20</v>
      </c>
      <c r="C766" s="5">
        <v>44880</v>
      </c>
      <c r="D766" s="5">
        <v>44887</v>
      </c>
      <c r="E766" s="3" t="s">
        <v>13</v>
      </c>
      <c r="F766" s="3" t="s">
        <v>35</v>
      </c>
      <c r="G766" s="3">
        <v>645</v>
      </c>
      <c r="H766" s="3">
        <v>35.049999999999997</v>
      </c>
      <c r="I766" s="3">
        <v>30.88</v>
      </c>
      <c r="J766" s="3">
        <v>27</v>
      </c>
      <c r="K766" s="3" t="s">
        <v>15</v>
      </c>
      <c r="L766" s="3">
        <f t="shared" si="44"/>
        <v>7</v>
      </c>
      <c r="M766" s="4">
        <f t="shared" si="45"/>
        <v>4.1699999999999982</v>
      </c>
      <c r="N766" s="6">
        <f t="shared" si="46"/>
        <v>0.11897289586305274</v>
      </c>
      <c r="O766" s="4">
        <f t="shared" si="47"/>
        <v>2689.6499999999987</v>
      </c>
    </row>
    <row r="767" spans="1:15" x14ac:dyDescent="0.3">
      <c r="A767" s="3" t="s">
        <v>792</v>
      </c>
      <c r="B767" s="3" t="s">
        <v>20</v>
      </c>
      <c r="C767" s="5">
        <v>44672</v>
      </c>
      <c r="D767" s="5">
        <v>44685</v>
      </c>
      <c r="E767" s="3" t="s">
        <v>39</v>
      </c>
      <c r="F767" s="3" t="s">
        <v>14</v>
      </c>
      <c r="G767" s="3">
        <v>1953</v>
      </c>
      <c r="H767" s="3">
        <v>68.069999999999993</v>
      </c>
      <c r="I767" s="3">
        <v>62.95</v>
      </c>
      <c r="J767" s="3">
        <v>87</v>
      </c>
      <c r="K767" s="3" t="s">
        <v>15</v>
      </c>
      <c r="L767" s="3">
        <f t="shared" si="44"/>
        <v>13</v>
      </c>
      <c r="M767" s="4">
        <f t="shared" si="45"/>
        <v>5.1199999999999903</v>
      </c>
      <c r="N767" s="6">
        <f t="shared" si="46"/>
        <v>7.5216688702805803E-2</v>
      </c>
      <c r="O767" s="4">
        <f t="shared" si="47"/>
        <v>9999.3599999999806</v>
      </c>
    </row>
    <row r="768" spans="1:15" x14ac:dyDescent="0.3">
      <c r="A768" s="3" t="s">
        <v>793</v>
      </c>
      <c r="B768" s="3" t="s">
        <v>20</v>
      </c>
      <c r="C768" s="5">
        <v>45154</v>
      </c>
      <c r="D768" s="5">
        <v>45171</v>
      </c>
      <c r="E768" s="3" t="s">
        <v>39</v>
      </c>
      <c r="F768" s="3" t="s">
        <v>18</v>
      </c>
      <c r="G768" s="3">
        <v>778</v>
      </c>
      <c r="H768" s="3">
        <v>64.17</v>
      </c>
      <c r="I768" s="3">
        <v>61.6</v>
      </c>
      <c r="J768" s="3">
        <v>47</v>
      </c>
      <c r="K768" s="3" t="s">
        <v>15</v>
      </c>
      <c r="L768" s="3">
        <f t="shared" si="44"/>
        <v>17</v>
      </c>
      <c r="M768" s="4">
        <f t="shared" si="45"/>
        <v>2.5700000000000003</v>
      </c>
      <c r="N768" s="6">
        <f t="shared" si="46"/>
        <v>4.004986753934861E-2</v>
      </c>
      <c r="O768" s="4">
        <f t="shared" si="47"/>
        <v>1999.4600000000003</v>
      </c>
    </row>
    <row r="769" spans="1:15" x14ac:dyDescent="0.3">
      <c r="A769" s="3" t="s">
        <v>794</v>
      </c>
      <c r="B769" s="3" t="s">
        <v>29</v>
      </c>
      <c r="C769" s="5">
        <v>44588</v>
      </c>
      <c r="D769" s="5">
        <v>44601</v>
      </c>
      <c r="E769" s="3" t="s">
        <v>13</v>
      </c>
      <c r="F769" s="3" t="s">
        <v>18</v>
      </c>
      <c r="G769" s="3">
        <v>1415</v>
      </c>
      <c r="H769" s="3">
        <v>80.19</v>
      </c>
      <c r="I769" s="3">
        <v>78.34</v>
      </c>
      <c r="J769" s="3"/>
      <c r="K769" s="3" t="s">
        <v>15</v>
      </c>
      <c r="L769" s="3">
        <f t="shared" si="44"/>
        <v>13</v>
      </c>
      <c r="M769" s="4">
        <f t="shared" si="45"/>
        <v>1.8499999999999943</v>
      </c>
      <c r="N769" s="6">
        <f t="shared" si="46"/>
        <v>2.3070208255393371E-2</v>
      </c>
      <c r="O769" s="4">
        <f t="shared" si="47"/>
        <v>2617.7499999999918</v>
      </c>
    </row>
    <row r="770" spans="1:15" x14ac:dyDescent="0.3">
      <c r="A770" s="3" t="s">
        <v>795</v>
      </c>
      <c r="B770" s="3" t="s">
        <v>20</v>
      </c>
      <c r="C770" s="5">
        <v>44881</v>
      </c>
      <c r="D770" s="5">
        <v>44887</v>
      </c>
      <c r="E770" s="3" t="s">
        <v>26</v>
      </c>
      <c r="F770" s="3" t="s">
        <v>18</v>
      </c>
      <c r="G770" s="3">
        <v>446</v>
      </c>
      <c r="H770" s="3">
        <v>20.61</v>
      </c>
      <c r="I770" s="3">
        <v>19.46</v>
      </c>
      <c r="J770" s="3">
        <v>14</v>
      </c>
      <c r="K770" s="3" t="s">
        <v>15</v>
      </c>
      <c r="L770" s="3">
        <f t="shared" si="44"/>
        <v>6</v>
      </c>
      <c r="M770" s="4">
        <f t="shared" si="45"/>
        <v>1.1499999999999986</v>
      </c>
      <c r="N770" s="6">
        <f t="shared" si="46"/>
        <v>5.5798156234837387E-2</v>
      </c>
      <c r="O770" s="4">
        <f t="shared" si="47"/>
        <v>512.89999999999941</v>
      </c>
    </row>
    <row r="771" spans="1:15" x14ac:dyDescent="0.3">
      <c r="A771" s="3" t="s">
        <v>796</v>
      </c>
      <c r="B771" s="3" t="s">
        <v>29</v>
      </c>
      <c r="C771" s="5">
        <v>45151</v>
      </c>
      <c r="D771" s="3"/>
      <c r="E771" s="3" t="s">
        <v>13</v>
      </c>
      <c r="F771" s="3" t="s">
        <v>18</v>
      </c>
      <c r="G771" s="3">
        <v>748</v>
      </c>
      <c r="H771" s="3">
        <v>85.95</v>
      </c>
      <c r="I771" s="3">
        <v>79.16</v>
      </c>
      <c r="J771" s="3">
        <v>32</v>
      </c>
      <c r="K771" s="3" t="s">
        <v>15</v>
      </c>
      <c r="L771" s="3" t="str">
        <f t="shared" ref="L771:L778" si="48">IF(OR(C771="",D771=""),"",D771-C771)</f>
        <v/>
      </c>
      <c r="M771" s="4">
        <f t="shared" ref="M771:M778" si="49">H771-I771</f>
        <v>6.7900000000000063</v>
      </c>
      <c r="N771" s="6">
        <f t="shared" ref="N771:N778" si="50">IFERROR((H771-I771)/H771,0)</f>
        <v>7.8999418266434043E-2</v>
      </c>
      <c r="O771" s="4">
        <f t="shared" ref="O771:O778" si="51">(H771-I771)*G771</f>
        <v>5078.9200000000046</v>
      </c>
    </row>
    <row r="772" spans="1:15" x14ac:dyDescent="0.3">
      <c r="A772" s="3" t="s">
        <v>797</v>
      </c>
      <c r="B772" s="3" t="s">
        <v>12</v>
      </c>
      <c r="C772" s="5">
        <v>45255</v>
      </c>
      <c r="D772" s="5">
        <v>45263</v>
      </c>
      <c r="E772" s="3" t="s">
        <v>39</v>
      </c>
      <c r="F772" s="3" t="s">
        <v>35</v>
      </c>
      <c r="G772" s="3">
        <v>1092</v>
      </c>
      <c r="H772" s="3">
        <v>65.17</v>
      </c>
      <c r="I772" s="3">
        <v>63.11</v>
      </c>
      <c r="J772" s="3">
        <v>21</v>
      </c>
      <c r="K772" s="3" t="s">
        <v>15</v>
      </c>
      <c r="L772" s="3">
        <f t="shared" si="48"/>
        <v>8</v>
      </c>
      <c r="M772" s="4">
        <f t="shared" si="49"/>
        <v>2.0600000000000023</v>
      </c>
      <c r="N772" s="6">
        <f t="shared" si="50"/>
        <v>3.1609636335737337E-2</v>
      </c>
      <c r="O772" s="4">
        <f t="shared" si="51"/>
        <v>2249.5200000000023</v>
      </c>
    </row>
    <row r="773" spans="1:15" x14ac:dyDescent="0.3">
      <c r="A773" s="3" t="s">
        <v>798</v>
      </c>
      <c r="B773" s="3" t="s">
        <v>23</v>
      </c>
      <c r="C773" s="5">
        <v>44946</v>
      </c>
      <c r="D773" s="5">
        <v>44959</v>
      </c>
      <c r="E773" s="3" t="s">
        <v>39</v>
      </c>
      <c r="F773" s="3" t="s">
        <v>18</v>
      </c>
      <c r="G773" s="3">
        <v>226</v>
      </c>
      <c r="H773" s="3">
        <v>102.47</v>
      </c>
      <c r="I773" s="3">
        <v>99.16</v>
      </c>
      <c r="J773" s="3">
        <v>28</v>
      </c>
      <c r="K773" s="3" t="s">
        <v>15</v>
      </c>
      <c r="L773" s="3">
        <f t="shared" si="48"/>
        <v>13</v>
      </c>
      <c r="M773" s="4">
        <f t="shared" si="49"/>
        <v>3.3100000000000023</v>
      </c>
      <c r="N773" s="6">
        <f t="shared" si="50"/>
        <v>3.2302137210891015E-2</v>
      </c>
      <c r="O773" s="4">
        <f t="shared" si="51"/>
        <v>748.06000000000051</v>
      </c>
    </row>
    <row r="774" spans="1:15" x14ac:dyDescent="0.3">
      <c r="A774" s="3" t="s">
        <v>799</v>
      </c>
      <c r="B774" s="3" t="s">
        <v>17</v>
      </c>
      <c r="C774" s="5">
        <v>44968</v>
      </c>
      <c r="D774" s="5">
        <v>44977</v>
      </c>
      <c r="E774" s="3" t="s">
        <v>39</v>
      </c>
      <c r="F774" s="3" t="s">
        <v>18</v>
      </c>
      <c r="G774" s="3">
        <v>1685</v>
      </c>
      <c r="H774" s="3">
        <v>43.42</v>
      </c>
      <c r="I774" s="3">
        <v>42.24</v>
      </c>
      <c r="J774" s="3">
        <v>262</v>
      </c>
      <c r="K774" s="3" t="s">
        <v>15</v>
      </c>
      <c r="L774" s="3">
        <f t="shared" si="48"/>
        <v>9</v>
      </c>
      <c r="M774" s="4">
        <f t="shared" si="49"/>
        <v>1.1799999999999997</v>
      </c>
      <c r="N774" s="6">
        <f t="shared" si="50"/>
        <v>2.7176416397973278E-2</v>
      </c>
      <c r="O774" s="4">
        <f t="shared" si="51"/>
        <v>1988.2999999999995</v>
      </c>
    </row>
    <row r="775" spans="1:15" x14ac:dyDescent="0.3">
      <c r="A775" s="3" t="s">
        <v>800</v>
      </c>
      <c r="B775" s="3" t="s">
        <v>12</v>
      </c>
      <c r="C775" s="5">
        <v>44765</v>
      </c>
      <c r="D775" s="3"/>
      <c r="E775" s="3" t="s">
        <v>13</v>
      </c>
      <c r="F775" s="3" t="s">
        <v>18</v>
      </c>
      <c r="G775" s="3">
        <v>445</v>
      </c>
      <c r="H775" s="3">
        <v>68.94</v>
      </c>
      <c r="I775" s="3">
        <v>60.35</v>
      </c>
      <c r="J775" s="3">
        <v>7</v>
      </c>
      <c r="K775" s="3" t="s">
        <v>15</v>
      </c>
      <c r="L775" s="3" t="str">
        <f t="shared" si="48"/>
        <v/>
      </c>
      <c r="M775" s="4">
        <f t="shared" si="49"/>
        <v>8.5899999999999963</v>
      </c>
      <c r="N775" s="6">
        <f t="shared" si="50"/>
        <v>0.12460110240789087</v>
      </c>
      <c r="O775" s="4">
        <f t="shared" si="51"/>
        <v>3822.5499999999984</v>
      </c>
    </row>
    <row r="776" spans="1:15" x14ac:dyDescent="0.3">
      <c r="A776" s="3" t="s">
        <v>801</v>
      </c>
      <c r="B776" s="3" t="s">
        <v>20</v>
      </c>
      <c r="C776" s="5">
        <v>44639</v>
      </c>
      <c r="D776" s="5">
        <v>44658</v>
      </c>
      <c r="E776" s="3" t="s">
        <v>26</v>
      </c>
      <c r="F776" s="3" t="s">
        <v>18</v>
      </c>
      <c r="G776" s="3">
        <v>494</v>
      </c>
      <c r="H776" s="3">
        <v>94.82</v>
      </c>
      <c r="I776" s="3">
        <v>81.89</v>
      </c>
      <c r="J776" s="3">
        <v>29</v>
      </c>
      <c r="K776" s="3" t="s">
        <v>15</v>
      </c>
      <c r="L776" s="3">
        <f t="shared" si="48"/>
        <v>19</v>
      </c>
      <c r="M776" s="4">
        <f t="shared" si="49"/>
        <v>12.929999999999993</v>
      </c>
      <c r="N776" s="6">
        <f t="shared" si="50"/>
        <v>0.1363636363636363</v>
      </c>
      <c r="O776" s="4">
        <f t="shared" si="51"/>
        <v>6387.4199999999964</v>
      </c>
    </row>
    <row r="777" spans="1:15" x14ac:dyDescent="0.3">
      <c r="A777" s="3" t="s">
        <v>802</v>
      </c>
      <c r="B777" s="3" t="s">
        <v>23</v>
      </c>
      <c r="C777" s="5">
        <v>45168</v>
      </c>
      <c r="D777" s="5">
        <v>45180</v>
      </c>
      <c r="E777" s="3" t="s">
        <v>21</v>
      </c>
      <c r="F777" s="3" t="s">
        <v>18</v>
      </c>
      <c r="G777" s="3">
        <v>1306</v>
      </c>
      <c r="H777" s="3">
        <v>21.05</v>
      </c>
      <c r="I777" s="3">
        <v>18.27</v>
      </c>
      <c r="J777" s="3">
        <v>128</v>
      </c>
      <c r="K777" s="3" t="s">
        <v>15</v>
      </c>
      <c r="L777" s="3">
        <f t="shared" si="48"/>
        <v>12</v>
      </c>
      <c r="M777" s="4">
        <f t="shared" si="49"/>
        <v>2.7800000000000011</v>
      </c>
      <c r="N777" s="6">
        <f t="shared" si="50"/>
        <v>0.13206650831353925</v>
      </c>
      <c r="O777" s="4">
        <f t="shared" si="51"/>
        <v>3630.6800000000017</v>
      </c>
    </row>
    <row r="778" spans="1:15" x14ac:dyDescent="0.3">
      <c r="A778" s="3" t="s">
        <v>803</v>
      </c>
      <c r="B778" s="3" t="s">
        <v>23</v>
      </c>
      <c r="C778" s="5">
        <v>45269</v>
      </c>
      <c r="D778" s="5">
        <v>45271</v>
      </c>
      <c r="E778" s="3" t="s">
        <v>13</v>
      </c>
      <c r="F778" s="3" t="s">
        <v>18</v>
      </c>
      <c r="G778" s="3">
        <v>1988</v>
      </c>
      <c r="H778" s="3">
        <v>105.2</v>
      </c>
      <c r="I778" s="3">
        <v>93.23</v>
      </c>
      <c r="J778" s="3">
        <v>187</v>
      </c>
      <c r="K778" s="3" t="s">
        <v>15</v>
      </c>
      <c r="L778" s="3">
        <f t="shared" si="48"/>
        <v>2</v>
      </c>
      <c r="M778" s="4">
        <f t="shared" si="49"/>
        <v>11.969999999999999</v>
      </c>
      <c r="N778" s="6">
        <f t="shared" si="50"/>
        <v>0.11378326996197717</v>
      </c>
      <c r="O778" s="4">
        <f t="shared" si="51"/>
        <v>23796.359999999997</v>
      </c>
    </row>
    <row r="780" spans="1:15" x14ac:dyDescent="0.3">
      <c r="L780" s="7">
        <f>AVERAGE(L2:L778)</f>
        <v>10.776811594202899</v>
      </c>
      <c r="N780" s="14">
        <f>AVERAGE(N2:N778)</f>
        <v>7.968088422889183E-2</v>
      </c>
    </row>
  </sheetData>
  <conditionalFormatting sqref="L2:L778">
    <cfRule type="cellIs" dxfId="36" priority="1" operator="lessThan">
      <formula>10.8</formula>
    </cfRule>
    <cfRule type="cellIs" dxfId="35" priority="2" operator="greaterThan">
      <formula>10.8</formula>
    </cfRule>
    <cfRule type="cellIs" dxfId="34" priority="3" operator="greaterThan">
      <formula>10</formula>
    </cfRule>
    <cfRule type="cellIs" dxfId="33" priority="4" operator="lessThan">
      <formula>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Key Insights</vt:lpstr>
      <vt:lpstr>PVT</vt:lpstr>
      <vt:lpstr>Procurement KPI Analysis Datase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lara kashmery</dc:creator>
  <cp:lastModifiedBy>lara kashmery</cp:lastModifiedBy>
  <dcterms:created xsi:type="dcterms:W3CDTF">2026-10-21T08:02:10Z</dcterms:created>
  <dcterms:modified xsi:type="dcterms:W3CDTF">2026-10-29T22:15:19Z</dcterms:modified>
</cp:coreProperties>
</file>